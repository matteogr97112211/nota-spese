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m.bonino\ownCloud - Martina Bonino@ebs-cloud.intelligentia.eu\Service\NOTE SPESE\"/>
    </mc:Choice>
  </mc:AlternateContent>
  <xr:revisionPtr revIDLastSave="0" documentId="13_ncr:1_{FBFC7736-27B7-4F5B-8284-0CD7BE3E346A}" xr6:coauthVersionLast="47" xr6:coauthVersionMax="47" xr10:uidLastSave="{00000000-0000-0000-0000-000000000000}"/>
  <bookViews>
    <workbookView xWindow="-90" yWindow="-16320" windowWidth="29040" windowHeight="15720" tabRatio="753" xr2:uid="{00000000-000D-0000-FFFF-FFFF00000000}"/>
  </bookViews>
  <sheets>
    <sheet name="RIEPILOGO_RIMBORSO_SPESE" sheetId="7" r:id="rId1"/>
    <sheet name="RIMBORSO_SPESE" sheetId="2" r:id="rId2"/>
    <sheet name="RIMBORSO KM" sheetId="9" r:id="rId3"/>
    <sheet name="Note di compilazione" sheetId="10" r:id="rId4"/>
  </sheets>
  <definedNames>
    <definedName name="_xlnm._FilterDatabase" localSheetId="2" hidden="1">'RIMBORSO KM'!#REF!</definedName>
    <definedName name="_xlnm._FilterDatabase" localSheetId="1" hidden="1">RIMBORSO_SPESE!$C$12:$C$18</definedName>
    <definedName name="_xlnm.Print_Area" localSheetId="0">RIEPILOGO_RIMBORSO_SPESE!$A$1:$K$36</definedName>
    <definedName name="_xlnm.Print_Area" localSheetId="2">'RIMBORSO KM'!$A$1:$G$58</definedName>
    <definedName name="_xlnm.Print_Area" localSheetId="1">RIMBORSO_SPESE!$A$1:$K$34</definedName>
    <definedName name="_xlnm.Print_Titles" localSheetId="2">'RIMBORSO KM'!$1:$9</definedName>
    <definedName name="_xlnm.Print_Titles" localSheetId="1">RIMBORSO_SPESE!$1:$9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2" l="1"/>
  <c r="AJ12" i="2" l="1"/>
  <c r="AI12" i="2"/>
  <c r="AV11" i="2"/>
  <c r="AU18" i="2"/>
  <c r="AU19" i="2"/>
  <c r="AU20" i="2"/>
  <c r="AU21" i="2"/>
  <c r="AU22" i="2"/>
  <c r="AU23" i="2"/>
  <c r="AU24" i="2"/>
  <c r="AU25" i="2"/>
  <c r="AU26" i="2"/>
  <c r="AU27" i="2"/>
  <c r="AU28" i="2"/>
  <c r="AU29" i="2"/>
  <c r="AU30" i="2"/>
  <c r="AU31" i="2"/>
  <c r="AU32" i="2"/>
  <c r="AU33" i="2"/>
  <c r="AU34" i="2"/>
  <c r="AU35"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4" i="2"/>
  <c r="AU65" i="2"/>
  <c r="AU66" i="2"/>
  <c r="AU67" i="2"/>
  <c r="AU68" i="2"/>
  <c r="AU69" i="2"/>
  <c r="AU70" i="2"/>
  <c r="AU71" i="2"/>
  <c r="AU72" i="2"/>
  <c r="AU73" i="2"/>
  <c r="AU74" i="2"/>
  <c r="AU75" i="2"/>
  <c r="AU76" i="2"/>
  <c r="AU77" i="2"/>
  <c r="AU78" i="2"/>
  <c r="AU79" i="2"/>
  <c r="AU80" i="2"/>
  <c r="AU81" i="2"/>
  <c r="AU82" i="2"/>
  <c r="AU83" i="2"/>
  <c r="AU84" i="2"/>
  <c r="AU85" i="2"/>
  <c r="AU86" i="2"/>
  <c r="AU87" i="2"/>
  <c r="AU88" i="2"/>
  <c r="AU90" i="2"/>
  <c r="AU91" i="2"/>
  <c r="AU92" i="2"/>
  <c r="AU93" i="2"/>
  <c r="AU94" i="2"/>
  <c r="AU95" i="2"/>
  <c r="AU96" i="2"/>
  <c r="AU97" i="2"/>
  <c r="AU98" i="2"/>
  <c r="AU99" i="2"/>
  <c r="AU100" i="2"/>
  <c r="AU101" i="2"/>
  <c r="AU102" i="2"/>
  <c r="AU103" i="2"/>
  <c r="AU104" i="2"/>
  <c r="AU105" i="2"/>
  <c r="AU106" i="2"/>
  <c r="AU107" i="2"/>
  <c r="AU108" i="2"/>
  <c r="AU109" i="2"/>
  <c r="AU110" i="2"/>
  <c r="AU111" i="2"/>
  <c r="AU112" i="2"/>
  <c r="AU113" i="2"/>
  <c r="AU114"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L12"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8" i="2"/>
  <c r="AT19" i="2"/>
  <c r="AT20" i="2"/>
  <c r="AT21" i="2"/>
  <c r="AT22" i="2"/>
  <c r="AT23" i="2"/>
  <c r="AT24" i="2"/>
  <c r="AT25" i="2"/>
  <c r="AT26" i="2"/>
  <c r="AT27" i="2"/>
  <c r="AT28" i="2"/>
  <c r="AT29" i="2"/>
  <c r="AT30" i="2"/>
  <c r="AT31" i="2"/>
  <c r="AT32" i="2"/>
  <c r="AT33" i="2"/>
  <c r="AT34" i="2"/>
  <c r="AT35" i="2"/>
  <c r="BL11" i="2"/>
  <c r="BL21" i="2"/>
  <c r="BL34" i="2"/>
  <c r="BL25" i="2"/>
  <c r="BM11" i="2"/>
  <c r="BM21" i="2"/>
  <c r="BM34" i="2"/>
  <c r="BM25" i="2"/>
  <c r="BM12" i="2"/>
  <c r="BM13" i="2"/>
  <c r="BM14" i="2"/>
  <c r="BM15" i="2"/>
  <c r="BM16" i="2"/>
  <c r="BM17" i="2"/>
  <c r="BM18" i="2"/>
  <c r="BM19" i="2"/>
  <c r="BM20" i="2"/>
  <c r="BM22" i="2"/>
  <c r="BM23" i="2"/>
  <c r="BM24" i="2"/>
  <c r="BM26" i="2"/>
  <c r="BM27" i="2"/>
  <c r="BM28" i="2"/>
  <c r="BM29" i="2"/>
  <c r="BM30" i="2"/>
  <c r="BM31" i="2"/>
  <c r="BM32" i="2"/>
  <c r="BM33" i="2"/>
  <c r="BM35" i="2"/>
  <c r="BM37" i="2"/>
  <c r="BM38" i="2"/>
  <c r="BM39" i="2"/>
  <c r="BM40" i="2"/>
  <c r="BM41" i="2"/>
  <c r="BM42" i="2"/>
  <c r="BM43" i="2"/>
  <c r="BM44" i="2"/>
  <c r="BM45" i="2"/>
  <c r="BM46" i="2"/>
  <c r="BM47" i="2"/>
  <c r="BM48" i="2"/>
  <c r="BM49" i="2"/>
  <c r="BM50" i="2"/>
  <c r="BM51" i="2"/>
  <c r="BM52" i="2"/>
  <c r="BM53" i="2"/>
  <c r="BM54" i="2"/>
  <c r="BM55" i="2"/>
  <c r="BM56" i="2"/>
  <c r="BM57" i="2"/>
  <c r="BM58" i="2"/>
  <c r="BM59" i="2"/>
  <c r="BM60" i="2"/>
  <c r="BM61" i="2"/>
  <c r="BM62" i="2"/>
  <c r="BM64" i="2"/>
  <c r="BM65" i="2"/>
  <c r="BM66" i="2"/>
  <c r="BM67" i="2"/>
  <c r="BM68" i="2"/>
  <c r="BM69" i="2"/>
  <c r="BM70" i="2"/>
  <c r="BM71" i="2"/>
  <c r="BM72" i="2"/>
  <c r="BM73" i="2"/>
  <c r="BM74" i="2"/>
  <c r="BM75" i="2"/>
  <c r="BM76" i="2"/>
  <c r="BM77" i="2"/>
  <c r="BM78" i="2"/>
  <c r="BM79" i="2"/>
  <c r="BM80" i="2"/>
  <c r="BM81" i="2"/>
  <c r="BM82" i="2"/>
  <c r="BM83" i="2"/>
  <c r="BM84" i="2"/>
  <c r="BM85" i="2"/>
  <c r="BM86" i="2"/>
  <c r="BM87" i="2"/>
  <c r="BM88" i="2"/>
  <c r="BM90" i="2"/>
  <c r="BM91" i="2"/>
  <c r="BM92" i="2"/>
  <c r="BM93" i="2"/>
  <c r="BM94" i="2"/>
  <c r="BM95" i="2"/>
  <c r="BM96" i="2"/>
  <c r="BM97" i="2"/>
  <c r="BM98" i="2"/>
  <c r="BM99" i="2"/>
  <c r="BM100" i="2"/>
  <c r="BM101" i="2"/>
  <c r="BM102" i="2"/>
  <c r="BM103" i="2"/>
  <c r="BM104" i="2"/>
  <c r="BM105" i="2"/>
  <c r="BM106" i="2"/>
  <c r="BM107" i="2"/>
  <c r="BM108" i="2"/>
  <c r="BM109" i="2"/>
  <c r="BM110" i="2"/>
  <c r="BM111" i="2"/>
  <c r="BM112" i="2"/>
  <c r="BM113" i="2"/>
  <c r="BM114" i="2"/>
  <c r="BM116" i="2"/>
  <c r="BM117" i="2"/>
  <c r="BM118" i="2"/>
  <c r="BM119" i="2"/>
  <c r="BM120" i="2"/>
  <c r="BM121" i="2"/>
  <c r="BM122" i="2"/>
  <c r="BM123" i="2"/>
  <c r="BM124" i="2"/>
  <c r="BM125" i="2"/>
  <c r="BM126" i="2"/>
  <c r="BM127" i="2"/>
  <c r="BM128" i="2"/>
  <c r="BM129" i="2"/>
  <c r="BM130" i="2"/>
  <c r="BM131" i="2"/>
  <c r="BM132" i="2"/>
  <c r="BM133" i="2"/>
  <c r="BM134" i="2"/>
  <c r="BM135" i="2"/>
  <c r="BM136" i="2"/>
  <c r="BM137" i="2"/>
  <c r="BM138" i="2"/>
  <c r="BM139" i="2"/>
  <c r="BN11" i="2"/>
  <c r="BN21" i="2"/>
  <c r="BN12" i="2"/>
  <c r="BN13" i="2"/>
  <c r="BN14" i="2"/>
  <c r="BN15" i="2"/>
  <c r="BN16" i="2"/>
  <c r="BN17" i="2"/>
  <c r="BN18" i="2"/>
  <c r="BN19" i="2"/>
  <c r="BN20" i="2"/>
  <c r="BN22" i="2"/>
  <c r="BN23" i="2"/>
  <c r="BN24" i="2"/>
  <c r="BN25" i="2"/>
  <c r="BN26" i="2"/>
  <c r="BN27" i="2"/>
  <c r="BN28" i="2"/>
  <c r="BN29" i="2"/>
  <c r="BN30" i="2"/>
  <c r="BN31" i="2"/>
  <c r="BN32" i="2"/>
  <c r="BN33" i="2"/>
  <c r="BN34" i="2"/>
  <c r="BN35" i="2"/>
  <c r="BN37" i="2"/>
  <c r="BN38" i="2"/>
  <c r="BN39" i="2"/>
  <c r="BN40" i="2"/>
  <c r="BN41" i="2"/>
  <c r="BN42" i="2"/>
  <c r="BN43" i="2"/>
  <c r="BN44" i="2"/>
  <c r="BN45" i="2"/>
  <c r="BN46" i="2"/>
  <c r="BN47" i="2"/>
  <c r="BN48" i="2"/>
  <c r="BN49" i="2"/>
  <c r="BN50" i="2"/>
  <c r="BN51" i="2"/>
  <c r="BN52" i="2"/>
  <c r="BN53" i="2"/>
  <c r="BN54" i="2"/>
  <c r="BN55" i="2"/>
  <c r="BN56" i="2"/>
  <c r="BN57" i="2"/>
  <c r="BN58" i="2"/>
  <c r="BN59" i="2"/>
  <c r="BN60" i="2"/>
  <c r="BN61" i="2"/>
  <c r="BN62" i="2"/>
  <c r="BN64" i="2"/>
  <c r="BN65" i="2"/>
  <c r="BN66" i="2"/>
  <c r="BN67" i="2"/>
  <c r="BN68" i="2"/>
  <c r="BN69" i="2"/>
  <c r="BN70" i="2"/>
  <c r="BN71" i="2"/>
  <c r="BN72" i="2"/>
  <c r="BN73" i="2"/>
  <c r="BN74" i="2"/>
  <c r="BN75" i="2"/>
  <c r="BN76" i="2"/>
  <c r="BN77" i="2"/>
  <c r="BN78" i="2"/>
  <c r="BN79" i="2"/>
  <c r="BN80" i="2"/>
  <c r="BN81" i="2"/>
  <c r="BN82" i="2"/>
  <c r="BN83" i="2"/>
  <c r="BN84" i="2"/>
  <c r="BN85" i="2"/>
  <c r="BN86" i="2"/>
  <c r="BN87" i="2"/>
  <c r="BN88" i="2"/>
  <c r="BN90" i="2"/>
  <c r="BN91" i="2"/>
  <c r="BN92" i="2"/>
  <c r="BN93" i="2"/>
  <c r="BN94" i="2"/>
  <c r="BN95" i="2"/>
  <c r="BN96" i="2"/>
  <c r="BN97" i="2"/>
  <c r="BN98" i="2"/>
  <c r="BN99" i="2"/>
  <c r="BN100" i="2"/>
  <c r="BN101" i="2"/>
  <c r="BN102" i="2"/>
  <c r="BN103" i="2"/>
  <c r="BN104" i="2"/>
  <c r="BN105" i="2"/>
  <c r="BN106" i="2"/>
  <c r="BN107" i="2"/>
  <c r="BN108" i="2"/>
  <c r="BN109" i="2"/>
  <c r="BN110" i="2"/>
  <c r="BN111" i="2"/>
  <c r="BN112" i="2"/>
  <c r="BN113" i="2"/>
  <c r="BN114" i="2"/>
  <c r="BN116" i="2"/>
  <c r="BN117" i="2"/>
  <c r="BN118" i="2"/>
  <c r="BN119" i="2"/>
  <c r="BN120" i="2"/>
  <c r="BN121" i="2"/>
  <c r="BN122" i="2"/>
  <c r="BN123" i="2"/>
  <c r="BN124" i="2"/>
  <c r="BN125" i="2"/>
  <c r="BN126" i="2"/>
  <c r="BN127" i="2"/>
  <c r="BN128" i="2"/>
  <c r="BN129" i="2"/>
  <c r="BN130" i="2"/>
  <c r="BN131" i="2"/>
  <c r="BN132" i="2"/>
  <c r="BN133" i="2"/>
  <c r="BN134" i="2"/>
  <c r="BN135" i="2"/>
  <c r="BN136" i="2"/>
  <c r="BN137" i="2"/>
  <c r="BN138" i="2"/>
  <c r="BN139" i="2"/>
  <c r="AE11" i="2"/>
  <c r="AG11" i="2"/>
  <c r="AI11" i="2"/>
  <c r="AK11" i="2"/>
  <c r="AQ11" i="2"/>
  <c r="AE12" i="2"/>
  <c r="AG12" i="2"/>
  <c r="AK12" i="2"/>
  <c r="AQ12" i="2"/>
  <c r="AV12" i="2"/>
  <c r="AE13" i="2"/>
  <c r="AV13" i="2" s="1"/>
  <c r="AG13" i="2"/>
  <c r="AI13" i="2"/>
  <c r="AK13" i="2"/>
  <c r="AQ13" i="2"/>
  <c r="AE14" i="2"/>
  <c r="AG14" i="2"/>
  <c r="AI14" i="2"/>
  <c r="AK14" i="2"/>
  <c r="AQ14" i="2"/>
  <c r="AV14" i="2"/>
  <c r="AE15" i="2"/>
  <c r="AG15" i="2"/>
  <c r="AI15" i="2"/>
  <c r="AK15" i="2"/>
  <c r="AQ15" i="2"/>
  <c r="AV15" i="2"/>
  <c r="AE16" i="2"/>
  <c r="AG16" i="2"/>
  <c r="AI16" i="2"/>
  <c r="AK16" i="2"/>
  <c r="AQ16" i="2"/>
  <c r="AV16" i="2"/>
  <c r="AV21" i="2"/>
  <c r="AV17" i="2"/>
  <c r="AV18" i="2"/>
  <c r="AV19" i="2"/>
  <c r="AV20" i="2"/>
  <c r="AV22" i="2"/>
  <c r="AV23" i="2"/>
  <c r="AV24" i="2"/>
  <c r="AV25" i="2"/>
  <c r="AV26" i="2"/>
  <c r="AV27" i="2"/>
  <c r="AV28" i="2"/>
  <c r="AV29" i="2"/>
  <c r="AV30" i="2"/>
  <c r="AV31" i="2"/>
  <c r="AV32" i="2"/>
  <c r="AV33" i="2"/>
  <c r="AV34" i="2"/>
  <c r="AV35" i="2"/>
  <c r="AV37" i="2"/>
  <c r="AV38" i="2"/>
  <c r="AV39" i="2"/>
  <c r="AV40" i="2"/>
  <c r="AV41" i="2"/>
  <c r="AV42" i="2"/>
  <c r="AV43" i="2"/>
  <c r="AV44" i="2"/>
  <c r="AV45" i="2"/>
  <c r="AV46" i="2"/>
  <c r="AV47" i="2"/>
  <c r="AV48" i="2"/>
  <c r="AV49" i="2"/>
  <c r="AV50" i="2"/>
  <c r="AV51" i="2"/>
  <c r="AV52" i="2"/>
  <c r="AV53" i="2"/>
  <c r="AV54" i="2"/>
  <c r="AV55" i="2"/>
  <c r="AV56" i="2"/>
  <c r="AV57" i="2"/>
  <c r="AV58" i="2"/>
  <c r="AV59" i="2"/>
  <c r="AV60" i="2"/>
  <c r="AV61" i="2"/>
  <c r="AV62" i="2"/>
  <c r="AV64" i="2"/>
  <c r="AV65" i="2"/>
  <c r="AV66" i="2"/>
  <c r="AV67" i="2"/>
  <c r="AV68" i="2"/>
  <c r="AV69" i="2"/>
  <c r="AV70" i="2"/>
  <c r="AV71" i="2"/>
  <c r="AV72" i="2"/>
  <c r="AV73" i="2"/>
  <c r="AV74" i="2"/>
  <c r="AV75" i="2"/>
  <c r="AV76" i="2"/>
  <c r="AV77" i="2"/>
  <c r="AV78" i="2"/>
  <c r="AV79" i="2"/>
  <c r="AV80" i="2"/>
  <c r="AV81" i="2"/>
  <c r="AV82" i="2"/>
  <c r="AV83" i="2"/>
  <c r="AV84" i="2"/>
  <c r="AV85" i="2"/>
  <c r="AV86" i="2"/>
  <c r="AV87" i="2"/>
  <c r="AV88" i="2"/>
  <c r="AV90" i="2"/>
  <c r="AV91" i="2"/>
  <c r="AV92" i="2"/>
  <c r="AV93" i="2"/>
  <c r="AV94" i="2"/>
  <c r="AV95" i="2"/>
  <c r="AV96" i="2"/>
  <c r="AV97" i="2"/>
  <c r="AV98" i="2"/>
  <c r="AV99" i="2"/>
  <c r="AV100" i="2"/>
  <c r="AV101" i="2"/>
  <c r="AV102" i="2"/>
  <c r="AV103" i="2"/>
  <c r="AV104" i="2"/>
  <c r="AV105" i="2"/>
  <c r="AV106" i="2"/>
  <c r="AV107" i="2"/>
  <c r="AV108" i="2"/>
  <c r="AV109" i="2"/>
  <c r="AV110" i="2"/>
  <c r="AV111" i="2"/>
  <c r="AV112" i="2"/>
  <c r="AV113" i="2"/>
  <c r="AV114" i="2"/>
  <c r="AV116" i="2"/>
  <c r="AV117" i="2"/>
  <c r="AV118" i="2"/>
  <c r="AV119" i="2"/>
  <c r="AV120" i="2"/>
  <c r="AV121" i="2"/>
  <c r="AV122" i="2"/>
  <c r="AV123" i="2"/>
  <c r="AV124" i="2"/>
  <c r="AV125" i="2"/>
  <c r="AV126" i="2"/>
  <c r="AV127" i="2"/>
  <c r="AV128" i="2"/>
  <c r="AV129" i="2"/>
  <c r="AV130" i="2"/>
  <c r="AV131" i="2"/>
  <c r="AV132" i="2"/>
  <c r="AV133" i="2"/>
  <c r="AV134" i="2"/>
  <c r="AV135" i="2"/>
  <c r="AV136" i="2"/>
  <c r="AV137" i="2"/>
  <c r="AV138" i="2"/>
  <c r="AV139" i="2"/>
  <c r="AV140" i="2"/>
  <c r="AF11" i="2"/>
  <c r="AH11" i="2"/>
  <c r="AJ11" i="2"/>
  <c r="AL11" i="2"/>
  <c r="AR11" i="2"/>
  <c r="AW11" i="2"/>
  <c r="AF12" i="2"/>
  <c r="AH12" i="2"/>
  <c r="AR12" i="2"/>
  <c r="AW12" i="2"/>
  <c r="AF13" i="2"/>
  <c r="AH13" i="2"/>
  <c r="AJ13" i="2"/>
  <c r="AL13" i="2"/>
  <c r="AR13" i="2"/>
  <c r="AW13" i="2"/>
  <c r="AF14" i="2"/>
  <c r="AH14" i="2"/>
  <c r="AJ14" i="2"/>
  <c r="AL14" i="2"/>
  <c r="AR14" i="2"/>
  <c r="AW14" i="2"/>
  <c r="AF15" i="2"/>
  <c r="AH15" i="2"/>
  <c r="AJ15" i="2"/>
  <c r="AL15" i="2"/>
  <c r="AR15" i="2"/>
  <c r="AW15" i="2"/>
  <c r="AF16" i="2"/>
  <c r="AH16" i="2"/>
  <c r="AJ16" i="2"/>
  <c r="AL16" i="2"/>
  <c r="AR16" i="2"/>
  <c r="AW16" i="2"/>
  <c r="AW17" i="2"/>
  <c r="AW18" i="2"/>
  <c r="AW19" i="2"/>
  <c r="AW20" i="2"/>
  <c r="AW21" i="2"/>
  <c r="AW22" i="2"/>
  <c r="AW23" i="2"/>
  <c r="AW24" i="2"/>
  <c r="AW25" i="2"/>
  <c r="AW26" i="2"/>
  <c r="AW27" i="2"/>
  <c r="AW28" i="2"/>
  <c r="AW29" i="2"/>
  <c r="AW30" i="2"/>
  <c r="AW31" i="2"/>
  <c r="AW32" i="2"/>
  <c r="AW33" i="2"/>
  <c r="AW34" i="2"/>
  <c r="AW35" i="2"/>
  <c r="AW37" i="2"/>
  <c r="AW38" i="2"/>
  <c r="AW39" i="2"/>
  <c r="AW40" i="2"/>
  <c r="AW41" i="2"/>
  <c r="AW42" i="2"/>
  <c r="AW43" i="2"/>
  <c r="AW44" i="2"/>
  <c r="AW45" i="2"/>
  <c r="AW46" i="2"/>
  <c r="AW47" i="2"/>
  <c r="AW48" i="2"/>
  <c r="AW49" i="2"/>
  <c r="AW50" i="2"/>
  <c r="AW51" i="2"/>
  <c r="AW52" i="2"/>
  <c r="AW53" i="2"/>
  <c r="AW54" i="2"/>
  <c r="AW55" i="2"/>
  <c r="AW56" i="2"/>
  <c r="AW57" i="2"/>
  <c r="AW58" i="2"/>
  <c r="AW59" i="2"/>
  <c r="AW60" i="2"/>
  <c r="AW61" i="2"/>
  <c r="AW62" i="2"/>
  <c r="AW64" i="2"/>
  <c r="AW65" i="2"/>
  <c r="AW66" i="2"/>
  <c r="AW67" i="2"/>
  <c r="AW68" i="2"/>
  <c r="AW69" i="2"/>
  <c r="AW70" i="2"/>
  <c r="AW71" i="2"/>
  <c r="AW72" i="2"/>
  <c r="AW73" i="2"/>
  <c r="AW74" i="2"/>
  <c r="AW75" i="2"/>
  <c r="AW76" i="2"/>
  <c r="AW77" i="2"/>
  <c r="AW78" i="2"/>
  <c r="AW79" i="2"/>
  <c r="AW80" i="2"/>
  <c r="AW81" i="2"/>
  <c r="AW82" i="2"/>
  <c r="AW83" i="2"/>
  <c r="AW84" i="2"/>
  <c r="AW85" i="2"/>
  <c r="AW86" i="2"/>
  <c r="AW87" i="2"/>
  <c r="AW88" i="2"/>
  <c r="AW90" i="2"/>
  <c r="AW91" i="2"/>
  <c r="AW92" i="2"/>
  <c r="AW93" i="2"/>
  <c r="AW94" i="2"/>
  <c r="AW95" i="2"/>
  <c r="AW96" i="2"/>
  <c r="AW97" i="2"/>
  <c r="AW98" i="2"/>
  <c r="AW99" i="2"/>
  <c r="AW100" i="2"/>
  <c r="AW101" i="2"/>
  <c r="AW102" i="2"/>
  <c r="AW103" i="2"/>
  <c r="AW104" i="2"/>
  <c r="AW105" i="2"/>
  <c r="AW106" i="2"/>
  <c r="AW107" i="2"/>
  <c r="AW108" i="2"/>
  <c r="AW109" i="2"/>
  <c r="AW110" i="2"/>
  <c r="AW111" i="2"/>
  <c r="AW112" i="2"/>
  <c r="AW113" i="2"/>
  <c r="AW114" i="2"/>
  <c r="AW116" i="2"/>
  <c r="AW117" i="2"/>
  <c r="AW118" i="2"/>
  <c r="AW119" i="2"/>
  <c r="AW120" i="2"/>
  <c r="AW121" i="2"/>
  <c r="AW122" i="2"/>
  <c r="AW123" i="2"/>
  <c r="AW124" i="2"/>
  <c r="AW125" i="2"/>
  <c r="AW126" i="2"/>
  <c r="AW127" i="2"/>
  <c r="AW128" i="2"/>
  <c r="AW129" i="2"/>
  <c r="AW130" i="2"/>
  <c r="AW131" i="2"/>
  <c r="AW132" i="2"/>
  <c r="AW133" i="2"/>
  <c r="AW134" i="2"/>
  <c r="AW135" i="2"/>
  <c r="AW136" i="2"/>
  <c r="AW137" i="2"/>
  <c r="AW138" i="2"/>
  <c r="AW139" i="2"/>
  <c r="AW140" i="2"/>
  <c r="BL12" i="2"/>
  <c r="BL13" i="2"/>
  <c r="BL14" i="2"/>
  <c r="BL15" i="2"/>
  <c r="BL16" i="2"/>
  <c r="BL17" i="2"/>
  <c r="BL18" i="2"/>
  <c r="BL19" i="2"/>
  <c r="BL20" i="2"/>
  <c r="BL22" i="2"/>
  <c r="BL23" i="2"/>
  <c r="BL24" i="2"/>
  <c r="BL26" i="2"/>
  <c r="BL27" i="2"/>
  <c r="BL28" i="2"/>
  <c r="BL29" i="2"/>
  <c r="BL30" i="2"/>
  <c r="BL31" i="2"/>
  <c r="BL32" i="2"/>
  <c r="BL33" i="2"/>
  <c r="BL35" i="2"/>
  <c r="BL37" i="2"/>
  <c r="BL38" i="2"/>
  <c r="BL39" i="2"/>
  <c r="BL40" i="2"/>
  <c r="BL41" i="2"/>
  <c r="BL42" i="2"/>
  <c r="BL43" i="2"/>
  <c r="BL44" i="2"/>
  <c r="BL45" i="2"/>
  <c r="BL46" i="2"/>
  <c r="BL47" i="2"/>
  <c r="BL48" i="2"/>
  <c r="BL49" i="2"/>
  <c r="BL50" i="2"/>
  <c r="BL51" i="2"/>
  <c r="BL52" i="2"/>
  <c r="BL53" i="2"/>
  <c r="BL54" i="2"/>
  <c r="BL55" i="2"/>
  <c r="BL56" i="2"/>
  <c r="BL57" i="2"/>
  <c r="BL58" i="2"/>
  <c r="BL59" i="2"/>
  <c r="BL60" i="2"/>
  <c r="BL61" i="2"/>
  <c r="BL62" i="2"/>
  <c r="BL64" i="2"/>
  <c r="BL65" i="2"/>
  <c r="BL66" i="2"/>
  <c r="BL67" i="2"/>
  <c r="BL68" i="2"/>
  <c r="BL69" i="2"/>
  <c r="BL70" i="2"/>
  <c r="BL71" i="2"/>
  <c r="BL72" i="2"/>
  <c r="BL73" i="2"/>
  <c r="BL74" i="2"/>
  <c r="BL75" i="2"/>
  <c r="BL76" i="2"/>
  <c r="BL77" i="2"/>
  <c r="BL78" i="2"/>
  <c r="BL79" i="2"/>
  <c r="BL80" i="2"/>
  <c r="BL81" i="2"/>
  <c r="BL82" i="2"/>
  <c r="BL83" i="2"/>
  <c r="BL84" i="2"/>
  <c r="BL85" i="2"/>
  <c r="BL86" i="2"/>
  <c r="BL87" i="2"/>
  <c r="BL88" i="2"/>
  <c r="BL90" i="2"/>
  <c r="BL91" i="2"/>
  <c r="BL92" i="2"/>
  <c r="BL93" i="2"/>
  <c r="BL94" i="2"/>
  <c r="BL95" i="2"/>
  <c r="BL96" i="2"/>
  <c r="BL97" i="2"/>
  <c r="BL98" i="2"/>
  <c r="BL99" i="2"/>
  <c r="BL100" i="2"/>
  <c r="BL101" i="2"/>
  <c r="BL102" i="2"/>
  <c r="BL103" i="2"/>
  <c r="BL104" i="2"/>
  <c r="BL105" i="2"/>
  <c r="BL106" i="2"/>
  <c r="BL107" i="2"/>
  <c r="BL108" i="2"/>
  <c r="BL109" i="2"/>
  <c r="BL110" i="2"/>
  <c r="BL111" i="2"/>
  <c r="BL112" i="2"/>
  <c r="BL113" i="2"/>
  <c r="BL114" i="2"/>
  <c r="BL116" i="2"/>
  <c r="BL117" i="2"/>
  <c r="BL118" i="2"/>
  <c r="BL119" i="2"/>
  <c r="BL120" i="2"/>
  <c r="BL121" i="2"/>
  <c r="BL122" i="2"/>
  <c r="BL123" i="2"/>
  <c r="BL124" i="2"/>
  <c r="BL125" i="2"/>
  <c r="BL126" i="2"/>
  <c r="BL127" i="2"/>
  <c r="BL128" i="2"/>
  <c r="BL129" i="2"/>
  <c r="BL130" i="2"/>
  <c r="BL131" i="2"/>
  <c r="BL132" i="2"/>
  <c r="BL133" i="2"/>
  <c r="BL134" i="2"/>
  <c r="BL135" i="2"/>
  <c r="BL136" i="2"/>
  <c r="BL137" i="2"/>
  <c r="BL138" i="2"/>
  <c r="BL139" i="2"/>
  <c r="BG12" i="2"/>
  <c r="BH12" i="2"/>
  <c r="BI12" i="2"/>
  <c r="BJ12" i="2"/>
  <c r="BG13" i="2"/>
  <c r="BH13" i="2"/>
  <c r="BI13" i="2"/>
  <c r="BJ13" i="2"/>
  <c r="BG14" i="2"/>
  <c r="BH14" i="2"/>
  <c r="BI14" i="2"/>
  <c r="BJ14" i="2"/>
  <c r="BG15" i="2"/>
  <c r="BH15" i="2"/>
  <c r="BI15" i="2"/>
  <c r="BJ15" i="2"/>
  <c r="BG16" i="2"/>
  <c r="BH16" i="2"/>
  <c r="BI16" i="2"/>
  <c r="BJ16" i="2"/>
  <c r="BG17" i="2"/>
  <c r="BH17" i="2"/>
  <c r="BI17" i="2"/>
  <c r="BJ17" i="2"/>
  <c r="BG18" i="2"/>
  <c r="BH18" i="2"/>
  <c r="BI18" i="2"/>
  <c r="BJ18" i="2"/>
  <c r="BG19" i="2"/>
  <c r="BH19" i="2"/>
  <c r="BI19" i="2"/>
  <c r="BJ19" i="2"/>
  <c r="BG20" i="2"/>
  <c r="BH20" i="2"/>
  <c r="BI20" i="2"/>
  <c r="BJ20" i="2"/>
  <c r="BG21" i="2"/>
  <c r="BH21" i="2"/>
  <c r="BI21" i="2"/>
  <c r="BJ21" i="2"/>
  <c r="BG22" i="2"/>
  <c r="BH22" i="2"/>
  <c r="BI22" i="2"/>
  <c r="BJ22" i="2"/>
  <c r="BG23" i="2"/>
  <c r="BH23" i="2"/>
  <c r="BI23" i="2"/>
  <c r="BJ23" i="2"/>
  <c r="BG24" i="2"/>
  <c r="BH24" i="2"/>
  <c r="BI24" i="2"/>
  <c r="BJ24" i="2"/>
  <c r="BG25" i="2"/>
  <c r="BH25" i="2"/>
  <c r="BI25" i="2"/>
  <c r="BJ25" i="2"/>
  <c r="BG26" i="2"/>
  <c r="BH26" i="2"/>
  <c r="BI26" i="2"/>
  <c r="BJ26" i="2"/>
  <c r="BG27" i="2"/>
  <c r="BH27" i="2"/>
  <c r="BI27" i="2"/>
  <c r="BJ27" i="2"/>
  <c r="BG28" i="2"/>
  <c r="BH28" i="2"/>
  <c r="BI28" i="2"/>
  <c r="BJ28" i="2"/>
  <c r="BG29" i="2"/>
  <c r="BH29" i="2"/>
  <c r="BI29" i="2"/>
  <c r="BJ29" i="2"/>
  <c r="BG30" i="2"/>
  <c r="BH30" i="2"/>
  <c r="BI30" i="2"/>
  <c r="BJ30" i="2"/>
  <c r="BG31" i="2"/>
  <c r="BH31" i="2"/>
  <c r="BI31" i="2"/>
  <c r="BJ31" i="2"/>
  <c r="BG32" i="2"/>
  <c r="BH32" i="2"/>
  <c r="BI32" i="2"/>
  <c r="BJ32" i="2"/>
  <c r="BG33" i="2"/>
  <c r="BH33" i="2"/>
  <c r="BI33" i="2"/>
  <c r="BJ33" i="2"/>
  <c r="BG34" i="2"/>
  <c r="BH34" i="2"/>
  <c r="BI34" i="2"/>
  <c r="BJ34" i="2"/>
  <c r="BG35" i="2"/>
  <c r="BH35" i="2"/>
  <c r="BI35" i="2"/>
  <c r="BJ35" i="2"/>
  <c r="BG37" i="2"/>
  <c r="BH37" i="2"/>
  <c r="BI37" i="2"/>
  <c r="BJ37" i="2"/>
  <c r="BG38" i="2"/>
  <c r="BH38" i="2"/>
  <c r="BI38" i="2"/>
  <c r="BJ38" i="2"/>
  <c r="BG39" i="2"/>
  <c r="BH39" i="2"/>
  <c r="BI39" i="2"/>
  <c r="BJ39" i="2"/>
  <c r="BG40" i="2"/>
  <c r="BH40" i="2"/>
  <c r="BI40" i="2"/>
  <c r="BJ40" i="2"/>
  <c r="BG41" i="2"/>
  <c r="BH41" i="2"/>
  <c r="BI41" i="2"/>
  <c r="BJ41" i="2"/>
  <c r="BG42" i="2"/>
  <c r="BH42" i="2"/>
  <c r="BI42" i="2"/>
  <c r="BJ42" i="2"/>
  <c r="BG43" i="2"/>
  <c r="BH43" i="2"/>
  <c r="BI43" i="2"/>
  <c r="BJ43" i="2"/>
  <c r="BG44" i="2"/>
  <c r="BH44" i="2"/>
  <c r="BI44" i="2"/>
  <c r="BJ44" i="2"/>
  <c r="BG45" i="2"/>
  <c r="BH45" i="2"/>
  <c r="BI45" i="2"/>
  <c r="BJ45" i="2"/>
  <c r="BG46" i="2"/>
  <c r="BH46" i="2"/>
  <c r="BI46" i="2"/>
  <c r="BJ46" i="2"/>
  <c r="BG47" i="2"/>
  <c r="BH47" i="2"/>
  <c r="BI47" i="2"/>
  <c r="BJ47" i="2"/>
  <c r="BG48" i="2"/>
  <c r="BH48" i="2"/>
  <c r="BI48" i="2"/>
  <c r="BJ48" i="2"/>
  <c r="BG49" i="2"/>
  <c r="BH49" i="2"/>
  <c r="BI49" i="2"/>
  <c r="BJ49" i="2"/>
  <c r="BG50" i="2"/>
  <c r="BH50" i="2"/>
  <c r="BI50" i="2"/>
  <c r="BJ50" i="2"/>
  <c r="BG51" i="2"/>
  <c r="BH51" i="2"/>
  <c r="BI51" i="2"/>
  <c r="BJ51" i="2"/>
  <c r="BG52" i="2"/>
  <c r="BH52" i="2"/>
  <c r="BI52" i="2"/>
  <c r="BJ52" i="2"/>
  <c r="BG53" i="2"/>
  <c r="BH53" i="2"/>
  <c r="BI53" i="2"/>
  <c r="BJ53" i="2"/>
  <c r="BG54" i="2"/>
  <c r="BH54" i="2"/>
  <c r="BI54" i="2"/>
  <c r="BJ54" i="2"/>
  <c r="BG55" i="2"/>
  <c r="BH55" i="2"/>
  <c r="BI55" i="2"/>
  <c r="BJ55" i="2"/>
  <c r="BG56" i="2"/>
  <c r="BH56" i="2"/>
  <c r="BI56" i="2"/>
  <c r="BJ56" i="2"/>
  <c r="BG57" i="2"/>
  <c r="BH57" i="2"/>
  <c r="BI57" i="2"/>
  <c r="BJ57" i="2"/>
  <c r="BG58" i="2"/>
  <c r="BH58" i="2"/>
  <c r="BI58" i="2"/>
  <c r="BJ58" i="2"/>
  <c r="BG59" i="2"/>
  <c r="BH59" i="2"/>
  <c r="BI59" i="2"/>
  <c r="BJ59" i="2"/>
  <c r="BG60" i="2"/>
  <c r="BH60" i="2"/>
  <c r="BI60" i="2"/>
  <c r="BJ60" i="2"/>
  <c r="BG61" i="2"/>
  <c r="BH61" i="2"/>
  <c r="BI61" i="2"/>
  <c r="BJ61" i="2"/>
  <c r="BG62" i="2"/>
  <c r="BH62" i="2"/>
  <c r="BI62" i="2"/>
  <c r="BJ62" i="2"/>
  <c r="BG64" i="2"/>
  <c r="BH64" i="2"/>
  <c r="BI64" i="2"/>
  <c r="BJ64" i="2"/>
  <c r="BG65" i="2"/>
  <c r="BH65" i="2"/>
  <c r="BI65" i="2"/>
  <c r="BJ65" i="2"/>
  <c r="BG66" i="2"/>
  <c r="BH66" i="2"/>
  <c r="BI66" i="2"/>
  <c r="BJ66" i="2"/>
  <c r="BG67" i="2"/>
  <c r="BH67" i="2"/>
  <c r="BI67" i="2"/>
  <c r="BJ67" i="2"/>
  <c r="BG68" i="2"/>
  <c r="BH68" i="2"/>
  <c r="BI68" i="2"/>
  <c r="BJ68" i="2"/>
  <c r="BG69" i="2"/>
  <c r="BH69" i="2"/>
  <c r="BI69" i="2"/>
  <c r="BJ69" i="2"/>
  <c r="BG70" i="2"/>
  <c r="BH70" i="2"/>
  <c r="BI70" i="2"/>
  <c r="BJ70" i="2"/>
  <c r="BG71" i="2"/>
  <c r="BH71" i="2"/>
  <c r="BI71" i="2"/>
  <c r="BJ71" i="2"/>
  <c r="BG72" i="2"/>
  <c r="BH72" i="2"/>
  <c r="BI72" i="2"/>
  <c r="BJ72" i="2"/>
  <c r="BG73" i="2"/>
  <c r="BH73" i="2"/>
  <c r="BI73" i="2"/>
  <c r="BJ73" i="2"/>
  <c r="BG74" i="2"/>
  <c r="BH74" i="2"/>
  <c r="BI74" i="2"/>
  <c r="BJ74" i="2"/>
  <c r="BG75" i="2"/>
  <c r="BH75" i="2"/>
  <c r="BI75" i="2"/>
  <c r="BJ75" i="2"/>
  <c r="BG76" i="2"/>
  <c r="BH76" i="2"/>
  <c r="BI76" i="2"/>
  <c r="BJ76" i="2"/>
  <c r="BG77" i="2"/>
  <c r="BH77" i="2"/>
  <c r="BI77" i="2"/>
  <c r="BJ77" i="2"/>
  <c r="BG78" i="2"/>
  <c r="BH78" i="2"/>
  <c r="BI78" i="2"/>
  <c r="BJ78" i="2"/>
  <c r="BG79" i="2"/>
  <c r="BH79" i="2"/>
  <c r="BI79" i="2"/>
  <c r="BJ79" i="2"/>
  <c r="BG80" i="2"/>
  <c r="BH80" i="2"/>
  <c r="BI80" i="2"/>
  <c r="BJ80" i="2"/>
  <c r="BG81" i="2"/>
  <c r="BH81" i="2"/>
  <c r="BI81" i="2"/>
  <c r="BJ81" i="2"/>
  <c r="BG82" i="2"/>
  <c r="BH82" i="2"/>
  <c r="BI82" i="2"/>
  <c r="BJ82" i="2"/>
  <c r="BG83" i="2"/>
  <c r="BH83" i="2"/>
  <c r="BI83" i="2"/>
  <c r="BJ83" i="2"/>
  <c r="BG84" i="2"/>
  <c r="BH84" i="2"/>
  <c r="BI84" i="2"/>
  <c r="BJ84" i="2"/>
  <c r="BG85" i="2"/>
  <c r="BH85" i="2"/>
  <c r="BI85" i="2"/>
  <c r="BJ85" i="2"/>
  <c r="BG86" i="2"/>
  <c r="BH86" i="2"/>
  <c r="BI86" i="2"/>
  <c r="BJ86" i="2"/>
  <c r="BG87" i="2"/>
  <c r="BH87" i="2"/>
  <c r="BI87" i="2"/>
  <c r="BJ87" i="2"/>
  <c r="BG88" i="2"/>
  <c r="BH88" i="2"/>
  <c r="BI88" i="2"/>
  <c r="BJ88" i="2"/>
  <c r="BG90" i="2"/>
  <c r="BH90" i="2"/>
  <c r="BI90" i="2"/>
  <c r="BJ90" i="2"/>
  <c r="BG91" i="2"/>
  <c r="BH91" i="2"/>
  <c r="BI91" i="2"/>
  <c r="BJ91" i="2"/>
  <c r="BG92" i="2"/>
  <c r="BH92" i="2"/>
  <c r="BI92" i="2"/>
  <c r="BJ92" i="2"/>
  <c r="BG93" i="2"/>
  <c r="BH93" i="2"/>
  <c r="BI93" i="2"/>
  <c r="BJ93" i="2"/>
  <c r="BG94" i="2"/>
  <c r="BH94" i="2"/>
  <c r="BI94" i="2"/>
  <c r="BJ94" i="2"/>
  <c r="BG95" i="2"/>
  <c r="BH95" i="2"/>
  <c r="BI95" i="2"/>
  <c r="BJ95" i="2"/>
  <c r="BG96" i="2"/>
  <c r="BH96" i="2"/>
  <c r="BI96" i="2"/>
  <c r="BJ96" i="2"/>
  <c r="BG97" i="2"/>
  <c r="BH97" i="2"/>
  <c r="BI97" i="2"/>
  <c r="BJ97" i="2"/>
  <c r="BG98" i="2"/>
  <c r="BH98" i="2"/>
  <c r="BI98" i="2"/>
  <c r="BJ98" i="2"/>
  <c r="BG99" i="2"/>
  <c r="BH99" i="2"/>
  <c r="BI99" i="2"/>
  <c r="BJ99" i="2"/>
  <c r="BG100" i="2"/>
  <c r="BH100" i="2"/>
  <c r="BI100" i="2"/>
  <c r="BJ100" i="2"/>
  <c r="BG101" i="2"/>
  <c r="BH101" i="2"/>
  <c r="BI101" i="2"/>
  <c r="BJ101" i="2"/>
  <c r="BG102" i="2"/>
  <c r="BH102" i="2"/>
  <c r="BI102" i="2"/>
  <c r="BJ102" i="2"/>
  <c r="BG103" i="2"/>
  <c r="BH103" i="2"/>
  <c r="BI103" i="2"/>
  <c r="BJ103" i="2"/>
  <c r="BG104" i="2"/>
  <c r="BH104" i="2"/>
  <c r="BI104" i="2"/>
  <c r="BJ104" i="2"/>
  <c r="BG105" i="2"/>
  <c r="BH105" i="2"/>
  <c r="BI105" i="2"/>
  <c r="BJ105" i="2"/>
  <c r="BG106" i="2"/>
  <c r="BH106" i="2"/>
  <c r="BI106" i="2"/>
  <c r="BJ106" i="2"/>
  <c r="BG107" i="2"/>
  <c r="BH107" i="2"/>
  <c r="BI107" i="2"/>
  <c r="BJ107" i="2"/>
  <c r="BG108" i="2"/>
  <c r="BH108" i="2"/>
  <c r="BI108" i="2"/>
  <c r="BJ108" i="2"/>
  <c r="BG109" i="2"/>
  <c r="BH109" i="2"/>
  <c r="BI109" i="2"/>
  <c r="BJ109" i="2"/>
  <c r="BG110" i="2"/>
  <c r="BH110" i="2"/>
  <c r="BI110" i="2"/>
  <c r="BJ110" i="2"/>
  <c r="BG111" i="2"/>
  <c r="BH111" i="2"/>
  <c r="BI111" i="2"/>
  <c r="BJ111" i="2"/>
  <c r="BG112" i="2"/>
  <c r="BH112" i="2"/>
  <c r="BI112" i="2"/>
  <c r="BJ112" i="2"/>
  <c r="BG113" i="2"/>
  <c r="BH113" i="2"/>
  <c r="BI113" i="2"/>
  <c r="BJ113" i="2"/>
  <c r="BG114" i="2"/>
  <c r="BH114" i="2"/>
  <c r="BI114" i="2"/>
  <c r="BJ114" i="2"/>
  <c r="BG116" i="2"/>
  <c r="BH116" i="2"/>
  <c r="BI116" i="2"/>
  <c r="BJ116" i="2"/>
  <c r="BG117" i="2"/>
  <c r="BH117" i="2"/>
  <c r="BI117" i="2"/>
  <c r="BJ117" i="2"/>
  <c r="BG118" i="2"/>
  <c r="BH118" i="2"/>
  <c r="BI118" i="2"/>
  <c r="BJ118" i="2"/>
  <c r="BG119" i="2"/>
  <c r="BH119" i="2"/>
  <c r="BI119" i="2"/>
  <c r="BJ119" i="2"/>
  <c r="BG120" i="2"/>
  <c r="BH120" i="2"/>
  <c r="BI120" i="2"/>
  <c r="BJ120" i="2"/>
  <c r="BG121" i="2"/>
  <c r="BH121" i="2"/>
  <c r="BI121" i="2"/>
  <c r="BJ121" i="2"/>
  <c r="BG122" i="2"/>
  <c r="BH122" i="2"/>
  <c r="BI122" i="2"/>
  <c r="BJ122" i="2"/>
  <c r="BG123" i="2"/>
  <c r="BH123" i="2"/>
  <c r="BI123" i="2"/>
  <c r="BJ123" i="2"/>
  <c r="BG124" i="2"/>
  <c r="BH124" i="2"/>
  <c r="BI124" i="2"/>
  <c r="BJ124" i="2"/>
  <c r="BG125" i="2"/>
  <c r="BH125" i="2"/>
  <c r="BI125" i="2"/>
  <c r="BJ125" i="2"/>
  <c r="BG126" i="2"/>
  <c r="BH126" i="2"/>
  <c r="BI126" i="2"/>
  <c r="BJ126" i="2"/>
  <c r="BG127" i="2"/>
  <c r="BH127" i="2"/>
  <c r="BI127" i="2"/>
  <c r="BJ127" i="2"/>
  <c r="BG128" i="2"/>
  <c r="BH128" i="2"/>
  <c r="BI128" i="2"/>
  <c r="BJ128" i="2"/>
  <c r="BG129" i="2"/>
  <c r="BH129" i="2"/>
  <c r="BI129" i="2"/>
  <c r="BJ129" i="2"/>
  <c r="BG130" i="2"/>
  <c r="BH130" i="2"/>
  <c r="BI130" i="2"/>
  <c r="BJ130" i="2"/>
  <c r="BG131" i="2"/>
  <c r="BH131" i="2"/>
  <c r="BI131" i="2"/>
  <c r="BJ131" i="2"/>
  <c r="BG132" i="2"/>
  <c r="BH132" i="2"/>
  <c r="BI132" i="2"/>
  <c r="BJ132" i="2"/>
  <c r="BG133" i="2"/>
  <c r="BH133" i="2"/>
  <c r="BI133" i="2"/>
  <c r="BJ133" i="2"/>
  <c r="BG134" i="2"/>
  <c r="BH134" i="2"/>
  <c r="BI134" i="2"/>
  <c r="BJ134" i="2"/>
  <c r="BG135" i="2"/>
  <c r="BH135" i="2"/>
  <c r="BI135" i="2"/>
  <c r="BJ135" i="2"/>
  <c r="BG136" i="2"/>
  <c r="BH136" i="2"/>
  <c r="BI136" i="2"/>
  <c r="BJ136" i="2"/>
  <c r="BG137" i="2"/>
  <c r="BH137" i="2"/>
  <c r="BI137" i="2"/>
  <c r="BJ137" i="2"/>
  <c r="BG138" i="2"/>
  <c r="BH138" i="2"/>
  <c r="BI138" i="2"/>
  <c r="BJ138" i="2"/>
  <c r="BG139" i="2"/>
  <c r="BH139" i="2"/>
  <c r="BI139" i="2"/>
  <c r="BJ139" i="2"/>
  <c r="BG140" i="2"/>
  <c r="BH140" i="2"/>
  <c r="BI140" i="2"/>
  <c r="BJ140" i="2"/>
  <c r="BJ11" i="2"/>
  <c r="BI11" i="2"/>
  <c r="BH11" i="2"/>
  <c r="BG11" i="2"/>
  <c r="BC12" i="2"/>
  <c r="BD12" i="2"/>
  <c r="BE12" i="2"/>
  <c r="BF12" i="2"/>
  <c r="BC13" i="2"/>
  <c r="BD13" i="2"/>
  <c r="BE13" i="2"/>
  <c r="BF13" i="2"/>
  <c r="BC14" i="2"/>
  <c r="BD14" i="2"/>
  <c r="BE14" i="2"/>
  <c r="BF14" i="2"/>
  <c r="BC15" i="2"/>
  <c r="BD15" i="2"/>
  <c r="BE15" i="2"/>
  <c r="BF15" i="2"/>
  <c r="BC16" i="2"/>
  <c r="BD16" i="2"/>
  <c r="BE16" i="2"/>
  <c r="BF16" i="2"/>
  <c r="BC17" i="2"/>
  <c r="BD17" i="2"/>
  <c r="BE17" i="2"/>
  <c r="BF17" i="2"/>
  <c r="BC18" i="2"/>
  <c r="BD18" i="2"/>
  <c r="BE18" i="2"/>
  <c r="BF18" i="2"/>
  <c r="BC19" i="2"/>
  <c r="BD19" i="2"/>
  <c r="BE19" i="2"/>
  <c r="BF19" i="2"/>
  <c r="BC20" i="2"/>
  <c r="BD20" i="2"/>
  <c r="BE20" i="2"/>
  <c r="BF20" i="2"/>
  <c r="BC21" i="2"/>
  <c r="BD21" i="2"/>
  <c r="BE21" i="2"/>
  <c r="BF21" i="2"/>
  <c r="BC22" i="2"/>
  <c r="BD22" i="2"/>
  <c r="BE22" i="2"/>
  <c r="BF22" i="2"/>
  <c r="BC23" i="2"/>
  <c r="BD23" i="2"/>
  <c r="BE23" i="2"/>
  <c r="BF23" i="2"/>
  <c r="BC24" i="2"/>
  <c r="BD24" i="2"/>
  <c r="BE24" i="2"/>
  <c r="BF24" i="2"/>
  <c r="BC25" i="2"/>
  <c r="BD25" i="2"/>
  <c r="BE25" i="2"/>
  <c r="BF25" i="2"/>
  <c r="BC26" i="2"/>
  <c r="BD26" i="2"/>
  <c r="BE26" i="2"/>
  <c r="BF26" i="2"/>
  <c r="BC27" i="2"/>
  <c r="BD27" i="2"/>
  <c r="BE27" i="2"/>
  <c r="BF27" i="2"/>
  <c r="BC28" i="2"/>
  <c r="BD28" i="2"/>
  <c r="BE28" i="2"/>
  <c r="BF28" i="2"/>
  <c r="BC29" i="2"/>
  <c r="BD29" i="2"/>
  <c r="BE29" i="2"/>
  <c r="BF29" i="2"/>
  <c r="BC30" i="2"/>
  <c r="BD30" i="2"/>
  <c r="BE30" i="2"/>
  <c r="BF30" i="2"/>
  <c r="BC31" i="2"/>
  <c r="BD31" i="2"/>
  <c r="BE31" i="2"/>
  <c r="BF31" i="2"/>
  <c r="BC32" i="2"/>
  <c r="BD32" i="2"/>
  <c r="BE32" i="2"/>
  <c r="BF32" i="2"/>
  <c r="BC33" i="2"/>
  <c r="BD33" i="2"/>
  <c r="BE33" i="2"/>
  <c r="BF33" i="2"/>
  <c r="BC34" i="2"/>
  <c r="BD34" i="2"/>
  <c r="BE34" i="2"/>
  <c r="BF34" i="2"/>
  <c r="BC35" i="2"/>
  <c r="BD35" i="2"/>
  <c r="BE35" i="2"/>
  <c r="BF35" i="2"/>
  <c r="BC37" i="2"/>
  <c r="BD37" i="2"/>
  <c r="BE37" i="2"/>
  <c r="BF37" i="2"/>
  <c r="BC38" i="2"/>
  <c r="BD38" i="2"/>
  <c r="BE38" i="2"/>
  <c r="BF38" i="2"/>
  <c r="BC39" i="2"/>
  <c r="BD39" i="2"/>
  <c r="BE39" i="2"/>
  <c r="BF39" i="2"/>
  <c r="BC40" i="2"/>
  <c r="BD40" i="2"/>
  <c r="BE40" i="2"/>
  <c r="BF40" i="2"/>
  <c r="BC41" i="2"/>
  <c r="BD41" i="2"/>
  <c r="BE41" i="2"/>
  <c r="BF41" i="2"/>
  <c r="BC42" i="2"/>
  <c r="BD42" i="2"/>
  <c r="BE42" i="2"/>
  <c r="BF42" i="2"/>
  <c r="BC43" i="2"/>
  <c r="BD43" i="2"/>
  <c r="BE43" i="2"/>
  <c r="BF43" i="2"/>
  <c r="BC44" i="2"/>
  <c r="BD44" i="2"/>
  <c r="BE44" i="2"/>
  <c r="BF44" i="2"/>
  <c r="BC45" i="2"/>
  <c r="BD45" i="2"/>
  <c r="BE45" i="2"/>
  <c r="BF45" i="2"/>
  <c r="BC46" i="2"/>
  <c r="BD46" i="2"/>
  <c r="BE46" i="2"/>
  <c r="BF46" i="2"/>
  <c r="BC47" i="2"/>
  <c r="BD47" i="2"/>
  <c r="BE47" i="2"/>
  <c r="BF47" i="2"/>
  <c r="BC48" i="2"/>
  <c r="BD48" i="2"/>
  <c r="BE48" i="2"/>
  <c r="BF48" i="2"/>
  <c r="BC49" i="2"/>
  <c r="BD49" i="2"/>
  <c r="BE49" i="2"/>
  <c r="BF49" i="2"/>
  <c r="BC50" i="2"/>
  <c r="BD50" i="2"/>
  <c r="BE50" i="2"/>
  <c r="BF50" i="2"/>
  <c r="BC51" i="2"/>
  <c r="BD51" i="2"/>
  <c r="BE51" i="2"/>
  <c r="BF51" i="2"/>
  <c r="BC52" i="2"/>
  <c r="BD52" i="2"/>
  <c r="BE52" i="2"/>
  <c r="BF52" i="2"/>
  <c r="BC53" i="2"/>
  <c r="BD53" i="2"/>
  <c r="BE53" i="2"/>
  <c r="BF53" i="2"/>
  <c r="BC54" i="2"/>
  <c r="BD54" i="2"/>
  <c r="BE54" i="2"/>
  <c r="BF54" i="2"/>
  <c r="BC55" i="2"/>
  <c r="BD55" i="2"/>
  <c r="BE55" i="2"/>
  <c r="BF55" i="2"/>
  <c r="BC56" i="2"/>
  <c r="BD56" i="2"/>
  <c r="BE56" i="2"/>
  <c r="BF56" i="2"/>
  <c r="BC57" i="2"/>
  <c r="BD57" i="2"/>
  <c r="BE57" i="2"/>
  <c r="BF57" i="2"/>
  <c r="BC58" i="2"/>
  <c r="BD58" i="2"/>
  <c r="BE58" i="2"/>
  <c r="BF58" i="2"/>
  <c r="BC59" i="2"/>
  <c r="BD59" i="2"/>
  <c r="BE59" i="2"/>
  <c r="BF59" i="2"/>
  <c r="BC60" i="2"/>
  <c r="BD60" i="2"/>
  <c r="BE60" i="2"/>
  <c r="BF60" i="2"/>
  <c r="BC61" i="2"/>
  <c r="BD61" i="2"/>
  <c r="BE61" i="2"/>
  <c r="BF61" i="2"/>
  <c r="BC62" i="2"/>
  <c r="BD62" i="2"/>
  <c r="BE62" i="2"/>
  <c r="BF62" i="2"/>
  <c r="BC64" i="2"/>
  <c r="BD64" i="2"/>
  <c r="BE64" i="2"/>
  <c r="BF64" i="2"/>
  <c r="BC65" i="2"/>
  <c r="BD65" i="2"/>
  <c r="BE65" i="2"/>
  <c r="BF65" i="2"/>
  <c r="BC66" i="2"/>
  <c r="BD66" i="2"/>
  <c r="BE66" i="2"/>
  <c r="BF66" i="2"/>
  <c r="BC67" i="2"/>
  <c r="BD67" i="2"/>
  <c r="BE67" i="2"/>
  <c r="BF67" i="2"/>
  <c r="BC68" i="2"/>
  <c r="BD68" i="2"/>
  <c r="BE68" i="2"/>
  <c r="BF68" i="2"/>
  <c r="BC69" i="2"/>
  <c r="BD69" i="2"/>
  <c r="BE69" i="2"/>
  <c r="BF69" i="2"/>
  <c r="BC70" i="2"/>
  <c r="BD70" i="2"/>
  <c r="BE70" i="2"/>
  <c r="BF70" i="2"/>
  <c r="BC71" i="2"/>
  <c r="BD71" i="2"/>
  <c r="BE71" i="2"/>
  <c r="BF71" i="2"/>
  <c r="BC72" i="2"/>
  <c r="BD72" i="2"/>
  <c r="BE72" i="2"/>
  <c r="BF72" i="2"/>
  <c r="BC73" i="2"/>
  <c r="BD73" i="2"/>
  <c r="BE73" i="2"/>
  <c r="BF73" i="2"/>
  <c r="BC74" i="2"/>
  <c r="BD74" i="2"/>
  <c r="BE74" i="2"/>
  <c r="BF74" i="2"/>
  <c r="BC75" i="2"/>
  <c r="BD75" i="2"/>
  <c r="BE75" i="2"/>
  <c r="BF75" i="2"/>
  <c r="BC76" i="2"/>
  <c r="BD76" i="2"/>
  <c r="BE76" i="2"/>
  <c r="BF76" i="2"/>
  <c r="BC77" i="2"/>
  <c r="BD77" i="2"/>
  <c r="BE77" i="2"/>
  <c r="BF77" i="2"/>
  <c r="BC78" i="2"/>
  <c r="BD78" i="2"/>
  <c r="BE78" i="2"/>
  <c r="BF78" i="2"/>
  <c r="BC79" i="2"/>
  <c r="BD79" i="2"/>
  <c r="BE79" i="2"/>
  <c r="BF79" i="2"/>
  <c r="BC80" i="2"/>
  <c r="BD80" i="2"/>
  <c r="BE80" i="2"/>
  <c r="BF80" i="2"/>
  <c r="BC81" i="2"/>
  <c r="BD81" i="2"/>
  <c r="BE81" i="2"/>
  <c r="BF81" i="2"/>
  <c r="BC82" i="2"/>
  <c r="BD82" i="2"/>
  <c r="BE82" i="2"/>
  <c r="BF82" i="2"/>
  <c r="BC83" i="2"/>
  <c r="BD83" i="2"/>
  <c r="BE83" i="2"/>
  <c r="BF83" i="2"/>
  <c r="BC84" i="2"/>
  <c r="BD84" i="2"/>
  <c r="BE84" i="2"/>
  <c r="BF84" i="2"/>
  <c r="BC85" i="2"/>
  <c r="BD85" i="2"/>
  <c r="BE85" i="2"/>
  <c r="BF85" i="2"/>
  <c r="BC86" i="2"/>
  <c r="BD86" i="2"/>
  <c r="BE86" i="2"/>
  <c r="BF86" i="2"/>
  <c r="BC87" i="2"/>
  <c r="BD87" i="2"/>
  <c r="BE87" i="2"/>
  <c r="BF87" i="2"/>
  <c r="BC88" i="2"/>
  <c r="BD88" i="2"/>
  <c r="BE88" i="2"/>
  <c r="BF88" i="2"/>
  <c r="BC90" i="2"/>
  <c r="BD90" i="2"/>
  <c r="BE90" i="2"/>
  <c r="BF90" i="2"/>
  <c r="BC91" i="2"/>
  <c r="BD91" i="2"/>
  <c r="BE91" i="2"/>
  <c r="BF91" i="2"/>
  <c r="BC92" i="2"/>
  <c r="BD92" i="2"/>
  <c r="BE92" i="2"/>
  <c r="BF92" i="2"/>
  <c r="BC93" i="2"/>
  <c r="BD93" i="2"/>
  <c r="BE93" i="2"/>
  <c r="BF93" i="2"/>
  <c r="BC94" i="2"/>
  <c r="BD94" i="2"/>
  <c r="BE94" i="2"/>
  <c r="BF94" i="2"/>
  <c r="BC95" i="2"/>
  <c r="BD95" i="2"/>
  <c r="BE95" i="2"/>
  <c r="BF95" i="2"/>
  <c r="BC96" i="2"/>
  <c r="BD96" i="2"/>
  <c r="BE96" i="2"/>
  <c r="BF96" i="2"/>
  <c r="BC97" i="2"/>
  <c r="BD97" i="2"/>
  <c r="BE97" i="2"/>
  <c r="BF97" i="2"/>
  <c r="BC98" i="2"/>
  <c r="BD98" i="2"/>
  <c r="BE98" i="2"/>
  <c r="BF98" i="2"/>
  <c r="BC99" i="2"/>
  <c r="BD99" i="2"/>
  <c r="BE99" i="2"/>
  <c r="BF99" i="2"/>
  <c r="BC100" i="2"/>
  <c r="BD100" i="2"/>
  <c r="BE100" i="2"/>
  <c r="BF100" i="2"/>
  <c r="BC101" i="2"/>
  <c r="BD101" i="2"/>
  <c r="BE101" i="2"/>
  <c r="BF101" i="2"/>
  <c r="BC102" i="2"/>
  <c r="BD102" i="2"/>
  <c r="BE102" i="2"/>
  <c r="BF102" i="2"/>
  <c r="BC103" i="2"/>
  <c r="BD103" i="2"/>
  <c r="BE103" i="2"/>
  <c r="BF103" i="2"/>
  <c r="BC104" i="2"/>
  <c r="BD104" i="2"/>
  <c r="BE104" i="2"/>
  <c r="BF104" i="2"/>
  <c r="BC105" i="2"/>
  <c r="BD105" i="2"/>
  <c r="BE105" i="2"/>
  <c r="BF105" i="2"/>
  <c r="BC106" i="2"/>
  <c r="BD106" i="2"/>
  <c r="BE106" i="2"/>
  <c r="BF106" i="2"/>
  <c r="BC107" i="2"/>
  <c r="BD107" i="2"/>
  <c r="BE107" i="2"/>
  <c r="BF107" i="2"/>
  <c r="BC108" i="2"/>
  <c r="BD108" i="2"/>
  <c r="BE108" i="2"/>
  <c r="BF108" i="2"/>
  <c r="BC109" i="2"/>
  <c r="BD109" i="2"/>
  <c r="BE109" i="2"/>
  <c r="BF109" i="2"/>
  <c r="BC110" i="2"/>
  <c r="BD110" i="2"/>
  <c r="BE110" i="2"/>
  <c r="BF110" i="2"/>
  <c r="BC111" i="2"/>
  <c r="BD111" i="2"/>
  <c r="BE111" i="2"/>
  <c r="BF111" i="2"/>
  <c r="BC112" i="2"/>
  <c r="BD112" i="2"/>
  <c r="BE112" i="2"/>
  <c r="BF112" i="2"/>
  <c r="BC113" i="2"/>
  <c r="BD113" i="2"/>
  <c r="BE113" i="2"/>
  <c r="BF113" i="2"/>
  <c r="BC114" i="2"/>
  <c r="BD114" i="2"/>
  <c r="BE114" i="2"/>
  <c r="BF114" i="2"/>
  <c r="BC116" i="2"/>
  <c r="BD116" i="2"/>
  <c r="BE116" i="2"/>
  <c r="BF116" i="2"/>
  <c r="BC117" i="2"/>
  <c r="BD117" i="2"/>
  <c r="BE117" i="2"/>
  <c r="BF117" i="2"/>
  <c r="BC118" i="2"/>
  <c r="BD118" i="2"/>
  <c r="BE118" i="2"/>
  <c r="BF118" i="2"/>
  <c r="BC119" i="2"/>
  <c r="BD119" i="2"/>
  <c r="BE119" i="2"/>
  <c r="BF119" i="2"/>
  <c r="BC120" i="2"/>
  <c r="BD120" i="2"/>
  <c r="BE120" i="2"/>
  <c r="BF120" i="2"/>
  <c r="BC121" i="2"/>
  <c r="BD121" i="2"/>
  <c r="BE121" i="2"/>
  <c r="BF121" i="2"/>
  <c r="BC122" i="2"/>
  <c r="BD122" i="2"/>
  <c r="BE122" i="2"/>
  <c r="BF122" i="2"/>
  <c r="BC123" i="2"/>
  <c r="BD123" i="2"/>
  <c r="BE123" i="2"/>
  <c r="BF123" i="2"/>
  <c r="BC124" i="2"/>
  <c r="BD124" i="2"/>
  <c r="BE124" i="2"/>
  <c r="BF124" i="2"/>
  <c r="BC125" i="2"/>
  <c r="BD125" i="2"/>
  <c r="BE125" i="2"/>
  <c r="BF125" i="2"/>
  <c r="BC126" i="2"/>
  <c r="BD126" i="2"/>
  <c r="BE126" i="2"/>
  <c r="BF126" i="2"/>
  <c r="BC127" i="2"/>
  <c r="BD127" i="2"/>
  <c r="BE127" i="2"/>
  <c r="BF127" i="2"/>
  <c r="BC128" i="2"/>
  <c r="BD128" i="2"/>
  <c r="BE128" i="2"/>
  <c r="BF128" i="2"/>
  <c r="BC129" i="2"/>
  <c r="BD129" i="2"/>
  <c r="BE129" i="2"/>
  <c r="BF129" i="2"/>
  <c r="BC130" i="2"/>
  <c r="BD130" i="2"/>
  <c r="BE130" i="2"/>
  <c r="BF130" i="2"/>
  <c r="BC131" i="2"/>
  <c r="BD131" i="2"/>
  <c r="BE131" i="2"/>
  <c r="BF131" i="2"/>
  <c r="BC132" i="2"/>
  <c r="BD132" i="2"/>
  <c r="BE132" i="2"/>
  <c r="BF132" i="2"/>
  <c r="BC133" i="2"/>
  <c r="BD133" i="2"/>
  <c r="BE133" i="2"/>
  <c r="BF133" i="2"/>
  <c r="BC134" i="2"/>
  <c r="BD134" i="2"/>
  <c r="BE134" i="2"/>
  <c r="BF134" i="2"/>
  <c r="BC135" i="2"/>
  <c r="BD135" i="2"/>
  <c r="BE135" i="2"/>
  <c r="BF135" i="2"/>
  <c r="BC136" i="2"/>
  <c r="BD136" i="2"/>
  <c r="BE136" i="2"/>
  <c r="BF136" i="2"/>
  <c r="BC137" i="2"/>
  <c r="BD137" i="2"/>
  <c r="BE137" i="2"/>
  <c r="BF137" i="2"/>
  <c r="BC138" i="2"/>
  <c r="BD138" i="2"/>
  <c r="BE138" i="2"/>
  <c r="BF138" i="2"/>
  <c r="BC139" i="2"/>
  <c r="BD139" i="2"/>
  <c r="BE139" i="2"/>
  <c r="BF139" i="2"/>
  <c r="BC140" i="2"/>
  <c r="BD140" i="2"/>
  <c r="BE140" i="2"/>
  <c r="BF140" i="2"/>
  <c r="BF11" i="2"/>
  <c r="BE11" i="2"/>
  <c r="BD11" i="2"/>
  <c r="BC11" i="2"/>
  <c r="AY12" i="2"/>
  <c r="BA12" i="2"/>
  <c r="AY13" i="2"/>
  <c r="BA13" i="2"/>
  <c r="BB13" i="2"/>
  <c r="AY14" i="2"/>
  <c r="AZ14" i="2"/>
  <c r="BA14" i="2"/>
  <c r="BB14" i="2"/>
  <c r="AY15" i="2"/>
  <c r="AZ15" i="2"/>
  <c r="BA15" i="2"/>
  <c r="BB15" i="2"/>
  <c r="AY16" i="2"/>
  <c r="AZ16" i="2"/>
  <c r="BA16" i="2"/>
  <c r="BB16" i="2"/>
  <c r="AY17" i="2"/>
  <c r="AZ17" i="2"/>
  <c r="BA17" i="2"/>
  <c r="BB17" i="2"/>
  <c r="AY18" i="2"/>
  <c r="AZ18" i="2"/>
  <c r="BA18" i="2"/>
  <c r="BB18" i="2"/>
  <c r="AY19" i="2"/>
  <c r="AZ19" i="2"/>
  <c r="BA19" i="2"/>
  <c r="BB19" i="2"/>
  <c r="AY20" i="2"/>
  <c r="AZ20" i="2"/>
  <c r="BA20" i="2"/>
  <c r="BB20" i="2"/>
  <c r="AY21" i="2"/>
  <c r="AZ21" i="2"/>
  <c r="BA21" i="2"/>
  <c r="BB21" i="2"/>
  <c r="AY22" i="2"/>
  <c r="AZ22" i="2"/>
  <c r="BA22" i="2"/>
  <c r="BB22" i="2"/>
  <c r="AY23" i="2"/>
  <c r="AZ23" i="2"/>
  <c r="BA23" i="2"/>
  <c r="BB23" i="2"/>
  <c r="AY24" i="2"/>
  <c r="AZ24" i="2"/>
  <c r="BA24" i="2"/>
  <c r="BB24" i="2"/>
  <c r="AY25" i="2"/>
  <c r="AZ25" i="2"/>
  <c r="BA25" i="2"/>
  <c r="BB25" i="2"/>
  <c r="AY26" i="2"/>
  <c r="AZ26" i="2"/>
  <c r="BA26" i="2"/>
  <c r="BB26" i="2"/>
  <c r="AY27" i="2"/>
  <c r="AZ27" i="2"/>
  <c r="BA27" i="2"/>
  <c r="BB27" i="2"/>
  <c r="AY28" i="2"/>
  <c r="AZ28" i="2"/>
  <c r="BA28" i="2"/>
  <c r="BB28" i="2"/>
  <c r="AY29" i="2"/>
  <c r="AZ29" i="2"/>
  <c r="BA29" i="2"/>
  <c r="BB29" i="2"/>
  <c r="AY30" i="2"/>
  <c r="AZ30" i="2"/>
  <c r="BA30" i="2"/>
  <c r="BB30" i="2"/>
  <c r="AY31" i="2"/>
  <c r="AZ31" i="2"/>
  <c r="BA31" i="2"/>
  <c r="BB31" i="2"/>
  <c r="AY32" i="2"/>
  <c r="AZ32" i="2"/>
  <c r="BA32" i="2"/>
  <c r="BA11" i="2"/>
  <c r="BA33" i="2"/>
  <c r="BA34" i="2"/>
  <c r="BA35" i="2"/>
  <c r="BA37" i="2"/>
  <c r="BA38" i="2"/>
  <c r="BA39" i="2"/>
  <c r="BA40" i="2"/>
  <c r="BA41" i="2"/>
  <c r="BA42" i="2"/>
  <c r="BA43" i="2"/>
  <c r="BA44" i="2"/>
  <c r="BA45" i="2"/>
  <c r="BA46" i="2"/>
  <c r="BA47" i="2"/>
  <c r="BA48" i="2"/>
  <c r="BA49" i="2"/>
  <c r="BA50" i="2"/>
  <c r="BA51" i="2"/>
  <c r="BA52" i="2"/>
  <c r="BA53" i="2"/>
  <c r="BA54" i="2"/>
  <c r="BA55" i="2"/>
  <c r="BA56" i="2"/>
  <c r="BA57" i="2"/>
  <c r="BA58" i="2"/>
  <c r="BA59" i="2"/>
  <c r="BA60" i="2"/>
  <c r="BA61" i="2"/>
  <c r="BA62" i="2"/>
  <c r="BA64" i="2"/>
  <c r="BA65" i="2"/>
  <c r="BA66" i="2"/>
  <c r="BA67" i="2"/>
  <c r="BA68" i="2"/>
  <c r="BA69" i="2"/>
  <c r="BA70" i="2"/>
  <c r="BA71" i="2"/>
  <c r="BA72" i="2"/>
  <c r="BA73" i="2"/>
  <c r="BA74" i="2"/>
  <c r="BA75" i="2"/>
  <c r="BA76" i="2"/>
  <c r="BA77" i="2"/>
  <c r="BA78" i="2"/>
  <c r="BA79" i="2"/>
  <c r="BA80" i="2"/>
  <c r="BA81" i="2"/>
  <c r="BA82" i="2"/>
  <c r="BA83" i="2"/>
  <c r="BA84" i="2"/>
  <c r="BA85" i="2"/>
  <c r="BA86" i="2"/>
  <c r="BA87" i="2"/>
  <c r="BA88" i="2"/>
  <c r="BA90" i="2"/>
  <c r="BA91" i="2"/>
  <c r="BA92" i="2"/>
  <c r="BA93" i="2"/>
  <c r="BA94" i="2"/>
  <c r="BA95" i="2"/>
  <c r="BA96" i="2"/>
  <c r="BA97" i="2"/>
  <c r="BA98" i="2"/>
  <c r="BA99" i="2"/>
  <c r="BA100" i="2"/>
  <c r="BA101" i="2"/>
  <c r="BA102" i="2"/>
  <c r="BA103" i="2"/>
  <c r="BA104" i="2"/>
  <c r="BA105" i="2"/>
  <c r="BA106" i="2"/>
  <c r="BA107" i="2"/>
  <c r="BA108" i="2"/>
  <c r="BA109" i="2"/>
  <c r="BA110" i="2"/>
  <c r="BA111" i="2"/>
  <c r="BA112" i="2"/>
  <c r="BA113" i="2"/>
  <c r="BA114" i="2"/>
  <c r="BA116" i="2"/>
  <c r="BA117" i="2"/>
  <c r="BA118" i="2"/>
  <c r="BA119" i="2"/>
  <c r="BA120" i="2"/>
  <c r="BA121" i="2"/>
  <c r="BA122" i="2"/>
  <c r="BA123" i="2"/>
  <c r="BA124" i="2"/>
  <c r="BA125" i="2"/>
  <c r="BA126" i="2"/>
  <c r="BA127" i="2"/>
  <c r="BA128" i="2"/>
  <c r="BA129" i="2"/>
  <c r="BA130" i="2"/>
  <c r="BA131" i="2"/>
  <c r="BA132" i="2"/>
  <c r="BA133" i="2"/>
  <c r="BA134" i="2"/>
  <c r="BA135" i="2"/>
  <c r="BA136" i="2"/>
  <c r="BA137" i="2"/>
  <c r="BA138" i="2"/>
  <c r="BA139" i="2"/>
  <c r="BA140" i="2"/>
  <c r="BB32" i="2"/>
  <c r="BB33" i="2"/>
  <c r="BB34" i="2"/>
  <c r="BB35" i="2"/>
  <c r="BB37" i="2"/>
  <c r="BB38" i="2"/>
  <c r="BB39" i="2"/>
  <c r="BB40" i="2"/>
  <c r="BB41" i="2"/>
  <c r="BB42" i="2"/>
  <c r="BB43" i="2"/>
  <c r="BB44" i="2"/>
  <c r="BB45" i="2"/>
  <c r="BB46" i="2"/>
  <c r="BB47" i="2"/>
  <c r="BB48" i="2"/>
  <c r="BB49" i="2"/>
  <c r="BB50" i="2"/>
  <c r="BB51" i="2"/>
  <c r="BB52" i="2"/>
  <c r="BB53" i="2"/>
  <c r="BB54" i="2"/>
  <c r="BB55" i="2"/>
  <c r="BB56" i="2"/>
  <c r="BB57" i="2"/>
  <c r="BB58" i="2"/>
  <c r="BB59" i="2"/>
  <c r="BB60" i="2"/>
  <c r="BB61" i="2"/>
  <c r="BB62" i="2"/>
  <c r="BB64" i="2"/>
  <c r="BB65" i="2"/>
  <c r="BB66" i="2"/>
  <c r="BB67" i="2"/>
  <c r="BB68" i="2"/>
  <c r="BB69" i="2"/>
  <c r="BB70" i="2"/>
  <c r="BB71" i="2"/>
  <c r="BB72" i="2"/>
  <c r="BB73" i="2"/>
  <c r="BB74" i="2"/>
  <c r="BB75" i="2"/>
  <c r="BB76" i="2"/>
  <c r="BB77" i="2"/>
  <c r="BB78" i="2"/>
  <c r="BB79" i="2"/>
  <c r="BB80" i="2"/>
  <c r="BB81" i="2"/>
  <c r="BB82" i="2"/>
  <c r="BB83" i="2"/>
  <c r="BB84" i="2"/>
  <c r="BB85" i="2"/>
  <c r="BB86" i="2"/>
  <c r="BB87" i="2"/>
  <c r="BB88" i="2"/>
  <c r="BB90" i="2"/>
  <c r="BB91" i="2"/>
  <c r="BB92" i="2"/>
  <c r="BB93" i="2"/>
  <c r="BB94" i="2"/>
  <c r="BB95" i="2"/>
  <c r="BB96" i="2"/>
  <c r="BB97" i="2"/>
  <c r="BB98" i="2"/>
  <c r="BB99" i="2"/>
  <c r="BB100" i="2"/>
  <c r="BB101" i="2"/>
  <c r="BB102" i="2"/>
  <c r="BB103" i="2"/>
  <c r="BB104" i="2"/>
  <c r="BB105" i="2"/>
  <c r="BB106" i="2"/>
  <c r="BB107" i="2"/>
  <c r="BB108" i="2"/>
  <c r="BB109" i="2"/>
  <c r="BB110" i="2"/>
  <c r="BB111" i="2"/>
  <c r="BB112" i="2"/>
  <c r="BB113" i="2"/>
  <c r="BB114" i="2"/>
  <c r="BB116" i="2"/>
  <c r="BB117" i="2"/>
  <c r="BB118" i="2"/>
  <c r="BB119" i="2"/>
  <c r="BB120" i="2"/>
  <c r="BB121" i="2"/>
  <c r="BB122" i="2"/>
  <c r="BB123" i="2"/>
  <c r="BB124" i="2"/>
  <c r="BB125" i="2"/>
  <c r="BB126" i="2"/>
  <c r="BB127" i="2"/>
  <c r="BB128" i="2"/>
  <c r="BB129" i="2"/>
  <c r="BB130" i="2"/>
  <c r="BB131" i="2"/>
  <c r="BB132" i="2"/>
  <c r="BB133" i="2"/>
  <c r="BB134" i="2"/>
  <c r="BB135" i="2"/>
  <c r="BB136" i="2"/>
  <c r="BB137" i="2"/>
  <c r="BB138" i="2"/>
  <c r="BB139" i="2"/>
  <c r="BB140" i="2"/>
  <c r="AY33" i="2"/>
  <c r="AZ33" i="2"/>
  <c r="AY34" i="2"/>
  <c r="AZ34" i="2"/>
  <c r="AY35" i="2"/>
  <c r="AZ35" i="2"/>
  <c r="AY37" i="2"/>
  <c r="AZ37" i="2"/>
  <c r="AY38" i="2"/>
  <c r="AZ38" i="2"/>
  <c r="AY39" i="2"/>
  <c r="AZ39" i="2"/>
  <c r="AY40" i="2"/>
  <c r="AZ40" i="2"/>
  <c r="AY41" i="2"/>
  <c r="AZ41" i="2"/>
  <c r="AY42" i="2"/>
  <c r="AZ42" i="2"/>
  <c r="AY43" i="2"/>
  <c r="AZ43" i="2"/>
  <c r="AY44" i="2"/>
  <c r="AZ44" i="2"/>
  <c r="AY45" i="2"/>
  <c r="AZ45" i="2"/>
  <c r="AY46" i="2"/>
  <c r="AZ46" i="2"/>
  <c r="AY47" i="2"/>
  <c r="AZ47" i="2"/>
  <c r="AY48" i="2"/>
  <c r="AZ48" i="2"/>
  <c r="AY49" i="2"/>
  <c r="AZ49" i="2"/>
  <c r="AY50" i="2"/>
  <c r="AZ50" i="2"/>
  <c r="AY51" i="2"/>
  <c r="AZ51" i="2"/>
  <c r="AY52" i="2"/>
  <c r="AZ52" i="2"/>
  <c r="AY53" i="2"/>
  <c r="AZ53" i="2"/>
  <c r="AY54" i="2"/>
  <c r="AZ54" i="2"/>
  <c r="AY55" i="2"/>
  <c r="AZ55" i="2"/>
  <c r="AY56" i="2"/>
  <c r="AZ56" i="2"/>
  <c r="AY57" i="2"/>
  <c r="AZ57" i="2"/>
  <c r="AY58" i="2"/>
  <c r="AZ58" i="2"/>
  <c r="AY59" i="2"/>
  <c r="AZ59" i="2"/>
  <c r="AY60" i="2"/>
  <c r="AZ60" i="2"/>
  <c r="AY61" i="2"/>
  <c r="AZ61" i="2"/>
  <c r="AY62" i="2"/>
  <c r="AZ62" i="2"/>
  <c r="AY64" i="2"/>
  <c r="AZ64" i="2"/>
  <c r="AY65" i="2"/>
  <c r="AZ65" i="2"/>
  <c r="AY66" i="2"/>
  <c r="AZ66" i="2"/>
  <c r="AY67" i="2"/>
  <c r="AZ67" i="2"/>
  <c r="AY68" i="2"/>
  <c r="AZ68" i="2"/>
  <c r="AY69" i="2"/>
  <c r="AZ69" i="2"/>
  <c r="AY70" i="2"/>
  <c r="AZ70" i="2"/>
  <c r="AY71" i="2"/>
  <c r="AZ71" i="2"/>
  <c r="AY72" i="2"/>
  <c r="AZ72" i="2"/>
  <c r="AY73" i="2"/>
  <c r="AZ73" i="2"/>
  <c r="AY74" i="2"/>
  <c r="AZ74" i="2"/>
  <c r="AY75" i="2"/>
  <c r="AZ75" i="2"/>
  <c r="AY76" i="2"/>
  <c r="AZ76" i="2"/>
  <c r="AY77" i="2"/>
  <c r="AZ77" i="2"/>
  <c r="AY78" i="2"/>
  <c r="AZ78" i="2"/>
  <c r="AY79" i="2"/>
  <c r="AZ79" i="2"/>
  <c r="AY80" i="2"/>
  <c r="AZ80" i="2"/>
  <c r="AY81" i="2"/>
  <c r="AZ81" i="2"/>
  <c r="AY82" i="2"/>
  <c r="AZ82" i="2"/>
  <c r="AY83" i="2"/>
  <c r="AZ83" i="2"/>
  <c r="AY84" i="2"/>
  <c r="AZ84" i="2"/>
  <c r="AY85" i="2"/>
  <c r="AZ85" i="2"/>
  <c r="AY86" i="2"/>
  <c r="AZ86" i="2"/>
  <c r="AY87" i="2"/>
  <c r="AZ87" i="2"/>
  <c r="AY88" i="2"/>
  <c r="AZ88" i="2"/>
  <c r="AY90" i="2"/>
  <c r="AZ90" i="2"/>
  <c r="AY91" i="2"/>
  <c r="AZ91" i="2"/>
  <c r="AY92" i="2"/>
  <c r="AZ92" i="2"/>
  <c r="AY93" i="2"/>
  <c r="AZ93" i="2"/>
  <c r="AY94" i="2"/>
  <c r="AZ94" i="2"/>
  <c r="AY95" i="2"/>
  <c r="AZ95" i="2"/>
  <c r="AY96" i="2"/>
  <c r="AZ96" i="2"/>
  <c r="AY97" i="2"/>
  <c r="AZ97" i="2"/>
  <c r="AY98" i="2"/>
  <c r="AZ98" i="2"/>
  <c r="AY99" i="2"/>
  <c r="AZ99" i="2"/>
  <c r="AY100" i="2"/>
  <c r="AZ100" i="2"/>
  <c r="AY101" i="2"/>
  <c r="AZ101" i="2"/>
  <c r="AY102" i="2"/>
  <c r="AZ102" i="2"/>
  <c r="AY103" i="2"/>
  <c r="AZ103" i="2"/>
  <c r="AY104" i="2"/>
  <c r="AZ104" i="2"/>
  <c r="AY105" i="2"/>
  <c r="AZ105" i="2"/>
  <c r="AY106" i="2"/>
  <c r="AZ106" i="2"/>
  <c r="AY107" i="2"/>
  <c r="AZ107" i="2"/>
  <c r="AY108" i="2"/>
  <c r="AZ108" i="2"/>
  <c r="AY109" i="2"/>
  <c r="AZ109" i="2"/>
  <c r="AY110" i="2"/>
  <c r="AZ110" i="2"/>
  <c r="AY111" i="2"/>
  <c r="AZ111" i="2"/>
  <c r="AY112" i="2"/>
  <c r="AZ112" i="2"/>
  <c r="AY113" i="2"/>
  <c r="AZ113" i="2"/>
  <c r="AY114" i="2"/>
  <c r="AZ114" i="2"/>
  <c r="AY116" i="2"/>
  <c r="AZ116" i="2"/>
  <c r="AY117" i="2"/>
  <c r="AZ117" i="2"/>
  <c r="AY118" i="2"/>
  <c r="AZ118" i="2"/>
  <c r="AY119" i="2"/>
  <c r="AZ119" i="2"/>
  <c r="AY120" i="2"/>
  <c r="AZ120" i="2"/>
  <c r="AY121" i="2"/>
  <c r="AZ121" i="2"/>
  <c r="AY122" i="2"/>
  <c r="AZ122" i="2"/>
  <c r="AY123" i="2"/>
  <c r="AZ123" i="2"/>
  <c r="AY124" i="2"/>
  <c r="AZ124" i="2"/>
  <c r="AY125" i="2"/>
  <c r="AZ125" i="2"/>
  <c r="AY126" i="2"/>
  <c r="AZ126" i="2"/>
  <c r="AY127" i="2"/>
  <c r="AZ127" i="2"/>
  <c r="AY128" i="2"/>
  <c r="AZ128" i="2"/>
  <c r="AY129" i="2"/>
  <c r="AZ129" i="2"/>
  <c r="AY130" i="2"/>
  <c r="AZ130" i="2"/>
  <c r="AY131" i="2"/>
  <c r="AZ131" i="2"/>
  <c r="AY132" i="2"/>
  <c r="AZ132" i="2"/>
  <c r="AY133" i="2"/>
  <c r="AZ133" i="2"/>
  <c r="AY134" i="2"/>
  <c r="AZ134" i="2"/>
  <c r="AY135" i="2"/>
  <c r="AZ135" i="2"/>
  <c r="AY136" i="2"/>
  <c r="AZ136" i="2"/>
  <c r="AY137" i="2"/>
  <c r="AZ137" i="2"/>
  <c r="AY138" i="2"/>
  <c r="AZ138" i="2"/>
  <c r="AY139" i="2"/>
  <c r="AZ139" i="2"/>
  <c r="AY140" i="2"/>
  <c r="AZ140" i="2"/>
  <c r="AZ11" i="2"/>
  <c r="AY11" i="2"/>
  <c r="AK17" i="2"/>
  <c r="AK18" i="2"/>
  <c r="AK19" i="2"/>
  <c r="AK20" i="2"/>
  <c r="AK21" i="2"/>
  <c r="AK22" i="2"/>
  <c r="AK23" i="2"/>
  <c r="AK24" i="2"/>
  <c r="AK25" i="2"/>
  <c r="AK26" i="2"/>
  <c r="AK27" i="2"/>
  <c r="AK28" i="2"/>
  <c r="AK29" i="2"/>
  <c r="AK30" i="2"/>
  <c r="AK31" i="2"/>
  <c r="AK32" i="2"/>
  <c r="AK33" i="2"/>
  <c r="AK34" i="2"/>
  <c r="AK35"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G57" i="9"/>
  <c r="D57" i="9" s="1"/>
  <c r="AG17" i="2"/>
  <c r="AG18" i="2"/>
  <c r="AG19" i="2"/>
  <c r="AG20" i="2"/>
  <c r="AG21" i="2"/>
  <c r="AG22" i="2"/>
  <c r="AG23" i="2"/>
  <c r="AG24" i="2"/>
  <c r="AG25" i="2"/>
  <c r="AG26" i="2"/>
  <c r="AG27" i="2"/>
  <c r="AG28" i="2"/>
  <c r="AG29" i="2"/>
  <c r="AG30" i="2"/>
  <c r="AG31" i="2"/>
  <c r="AG32" i="2"/>
  <c r="AG33" i="2"/>
  <c r="AG34" i="2"/>
  <c r="AG35"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H17" i="2"/>
  <c r="AH18" i="2"/>
  <c r="AH19" i="2"/>
  <c r="AH20" i="2"/>
  <c r="AH21" i="2"/>
  <c r="AH22" i="2"/>
  <c r="AH23" i="2"/>
  <c r="AH24" i="2"/>
  <c r="AH25" i="2"/>
  <c r="AH26" i="2"/>
  <c r="AH27" i="2"/>
  <c r="AH28" i="2"/>
  <c r="AH29" i="2"/>
  <c r="AH30" i="2"/>
  <c r="AH31" i="2"/>
  <c r="AH32" i="2"/>
  <c r="AH33" i="2"/>
  <c r="AH34" i="2"/>
  <c r="AH35"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I17" i="2"/>
  <c r="AI18" i="2"/>
  <c r="AI19" i="2"/>
  <c r="AI20" i="2"/>
  <c r="AI21" i="2"/>
  <c r="AI22" i="2"/>
  <c r="AI23" i="2"/>
  <c r="AI24" i="2"/>
  <c r="AI25" i="2"/>
  <c r="AI26" i="2"/>
  <c r="AI27" i="2"/>
  <c r="AI28" i="2"/>
  <c r="AI29" i="2"/>
  <c r="AI30" i="2"/>
  <c r="AI31" i="2"/>
  <c r="AI32" i="2"/>
  <c r="AI33" i="2"/>
  <c r="AI34" i="2"/>
  <c r="AI35"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J17" i="2"/>
  <c r="AJ18" i="2"/>
  <c r="AJ19" i="2"/>
  <c r="AJ20" i="2"/>
  <c r="AJ21" i="2"/>
  <c r="AJ22" i="2"/>
  <c r="AJ23" i="2"/>
  <c r="AJ24" i="2"/>
  <c r="AJ25" i="2"/>
  <c r="AJ26" i="2"/>
  <c r="AJ27" i="2"/>
  <c r="AJ28" i="2"/>
  <c r="AJ29" i="2"/>
  <c r="AJ30" i="2"/>
  <c r="AJ31" i="2"/>
  <c r="AJ32" i="2"/>
  <c r="AJ33" i="2"/>
  <c r="AJ34" i="2"/>
  <c r="AJ35"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E17" i="2"/>
  <c r="AT17" i="2" s="1"/>
  <c r="AE18" i="2"/>
  <c r="AE19" i="2"/>
  <c r="AE20" i="2"/>
  <c r="AE21" i="2"/>
  <c r="AE22" i="2"/>
  <c r="AE23" i="2"/>
  <c r="AE24" i="2"/>
  <c r="AE25" i="2"/>
  <c r="AE26" i="2"/>
  <c r="AE27" i="2"/>
  <c r="AE28" i="2"/>
  <c r="AE29" i="2"/>
  <c r="AE30" i="2"/>
  <c r="AE31" i="2"/>
  <c r="AE32" i="2"/>
  <c r="AE33" i="2"/>
  <c r="AE34" i="2"/>
  <c r="AE35"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F17" i="2"/>
  <c r="AU17" i="2" s="1"/>
  <c r="AF18" i="2"/>
  <c r="AF19" i="2"/>
  <c r="AF20" i="2"/>
  <c r="AF21" i="2"/>
  <c r="AF22" i="2"/>
  <c r="AF23" i="2"/>
  <c r="AF24" i="2"/>
  <c r="AF25" i="2"/>
  <c r="AF26" i="2"/>
  <c r="AF27" i="2"/>
  <c r="AF28" i="2"/>
  <c r="AF29" i="2"/>
  <c r="AF30" i="2"/>
  <c r="AF31" i="2"/>
  <c r="AF32" i="2"/>
  <c r="AF33" i="2"/>
  <c r="AF34" i="2"/>
  <c r="AF35"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Q17" i="2"/>
  <c r="AQ18" i="2"/>
  <c r="AQ19" i="2"/>
  <c r="AQ20" i="2"/>
  <c r="AQ21" i="2"/>
  <c r="AQ22" i="2"/>
  <c r="AQ23" i="2"/>
  <c r="AQ24" i="2"/>
  <c r="AQ25" i="2"/>
  <c r="AQ26" i="2"/>
  <c r="AQ27" i="2"/>
  <c r="AQ28" i="2"/>
  <c r="AQ29" i="2"/>
  <c r="AQ30" i="2"/>
  <c r="AQ31" i="2"/>
  <c r="AQ32" i="2"/>
  <c r="AQ33" i="2"/>
  <c r="AQ34" i="2"/>
  <c r="AQ35"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L17" i="2"/>
  <c r="AL18" i="2"/>
  <c r="AL19" i="2"/>
  <c r="AL20" i="2"/>
  <c r="AL21" i="2"/>
  <c r="AL22" i="2"/>
  <c r="AL23" i="2"/>
  <c r="AL24" i="2"/>
  <c r="AL25" i="2"/>
  <c r="AL26" i="2"/>
  <c r="AL27" i="2"/>
  <c r="AL28" i="2"/>
  <c r="AL29" i="2"/>
  <c r="AL30" i="2"/>
  <c r="AL31" i="2"/>
  <c r="AL32" i="2"/>
  <c r="AL33" i="2"/>
  <c r="AL34" i="2"/>
  <c r="AL35"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E10" i="2"/>
  <c r="AR140" i="2"/>
  <c r="AP140" i="2"/>
  <c r="AN140" i="2"/>
  <c r="AR139" i="2"/>
  <c r="AP139" i="2"/>
  <c r="AN139" i="2"/>
  <c r="AR138" i="2"/>
  <c r="AP138" i="2"/>
  <c r="AN138" i="2"/>
  <c r="AR137" i="2"/>
  <c r="AP137" i="2"/>
  <c r="AN137" i="2"/>
  <c r="AR136" i="2"/>
  <c r="AP136" i="2"/>
  <c r="AN136" i="2"/>
  <c r="AR135" i="2"/>
  <c r="AP135" i="2"/>
  <c r="AN135" i="2"/>
  <c r="AR134" i="2"/>
  <c r="AP134" i="2"/>
  <c r="AN134" i="2"/>
  <c r="AR133" i="2"/>
  <c r="AP133" i="2"/>
  <c r="AN133" i="2"/>
  <c r="AR132" i="2"/>
  <c r="AP132" i="2"/>
  <c r="AN132" i="2"/>
  <c r="AR131" i="2"/>
  <c r="AP131" i="2"/>
  <c r="AN131" i="2"/>
  <c r="AR130" i="2"/>
  <c r="AP130" i="2"/>
  <c r="AN130" i="2"/>
  <c r="AR129" i="2"/>
  <c r="AP129" i="2"/>
  <c r="AN129" i="2"/>
  <c r="AR128" i="2"/>
  <c r="AP128" i="2"/>
  <c r="AN128" i="2"/>
  <c r="AR127" i="2"/>
  <c r="AP127" i="2"/>
  <c r="AN127" i="2"/>
  <c r="AR126" i="2"/>
  <c r="AP126" i="2"/>
  <c r="AN126" i="2"/>
  <c r="AR125" i="2"/>
  <c r="AP125" i="2"/>
  <c r="AN125" i="2"/>
  <c r="AR124" i="2"/>
  <c r="AP124" i="2"/>
  <c r="AN124" i="2"/>
  <c r="AR123" i="2"/>
  <c r="AP123" i="2"/>
  <c r="AN123" i="2"/>
  <c r="AR122" i="2"/>
  <c r="AP122" i="2"/>
  <c r="AN122" i="2"/>
  <c r="AR121" i="2"/>
  <c r="AP121" i="2"/>
  <c r="AN121" i="2"/>
  <c r="AR120" i="2"/>
  <c r="AP120" i="2"/>
  <c r="AN120" i="2"/>
  <c r="AR119" i="2"/>
  <c r="AP119" i="2"/>
  <c r="AN119" i="2"/>
  <c r="AR118" i="2"/>
  <c r="AP118" i="2"/>
  <c r="AN118" i="2"/>
  <c r="AR117" i="2"/>
  <c r="AP117" i="2"/>
  <c r="AN117" i="2"/>
  <c r="AR116" i="2"/>
  <c r="AP116" i="2"/>
  <c r="AN116" i="2"/>
  <c r="AR114" i="2"/>
  <c r="AP114" i="2"/>
  <c r="AN114" i="2"/>
  <c r="AR113" i="2"/>
  <c r="AP113" i="2"/>
  <c r="AN113" i="2"/>
  <c r="AR112" i="2"/>
  <c r="AP112" i="2"/>
  <c r="AN112" i="2"/>
  <c r="AR111" i="2"/>
  <c r="AP111" i="2"/>
  <c r="AN111" i="2"/>
  <c r="AR110" i="2"/>
  <c r="AP110" i="2"/>
  <c r="AN110" i="2"/>
  <c r="AR109" i="2"/>
  <c r="AP109" i="2"/>
  <c r="AN109" i="2"/>
  <c r="AR108" i="2"/>
  <c r="AP108" i="2"/>
  <c r="AN108" i="2"/>
  <c r="AR107" i="2"/>
  <c r="AP107" i="2"/>
  <c r="AN107" i="2"/>
  <c r="AR106" i="2"/>
  <c r="AP106" i="2"/>
  <c r="AN106" i="2"/>
  <c r="AR105" i="2"/>
  <c r="AP105" i="2"/>
  <c r="AN105" i="2"/>
  <c r="AR104" i="2"/>
  <c r="AP104" i="2"/>
  <c r="AN104" i="2"/>
  <c r="AR103" i="2"/>
  <c r="AP103" i="2"/>
  <c r="AN103" i="2"/>
  <c r="AR102" i="2"/>
  <c r="AP102" i="2"/>
  <c r="AN102" i="2"/>
  <c r="AR101" i="2"/>
  <c r="AP101" i="2"/>
  <c r="AN101" i="2"/>
  <c r="AR100" i="2"/>
  <c r="AP100" i="2"/>
  <c r="AN100" i="2"/>
  <c r="AR99" i="2"/>
  <c r="AP99" i="2"/>
  <c r="AN99" i="2"/>
  <c r="AR98" i="2"/>
  <c r="AP98" i="2"/>
  <c r="AN98" i="2"/>
  <c r="AR97" i="2"/>
  <c r="AP97" i="2"/>
  <c r="AN97" i="2"/>
  <c r="AR96" i="2"/>
  <c r="AP96" i="2"/>
  <c r="AN96" i="2"/>
  <c r="AR95" i="2"/>
  <c r="AP95" i="2"/>
  <c r="AN95" i="2"/>
  <c r="AR94" i="2"/>
  <c r="AP94" i="2"/>
  <c r="AN94" i="2"/>
  <c r="AR93" i="2"/>
  <c r="AP93" i="2"/>
  <c r="AN93" i="2"/>
  <c r="AR92" i="2"/>
  <c r="AP92" i="2"/>
  <c r="AN92" i="2"/>
  <c r="AR91" i="2"/>
  <c r="AP91" i="2"/>
  <c r="AN91" i="2"/>
  <c r="AR90" i="2"/>
  <c r="AP90" i="2"/>
  <c r="AN90" i="2"/>
  <c r="AR88" i="2"/>
  <c r="AP88" i="2"/>
  <c r="AN88" i="2"/>
  <c r="AR87" i="2"/>
  <c r="AP87" i="2"/>
  <c r="AN87" i="2"/>
  <c r="AR86" i="2"/>
  <c r="AP86" i="2"/>
  <c r="AN86" i="2"/>
  <c r="AR85" i="2"/>
  <c r="AP85" i="2"/>
  <c r="AN85" i="2"/>
  <c r="AR84" i="2"/>
  <c r="AP84" i="2"/>
  <c r="AN84" i="2"/>
  <c r="AR83" i="2"/>
  <c r="AP83" i="2"/>
  <c r="AN83" i="2"/>
  <c r="AR82" i="2"/>
  <c r="AP82" i="2"/>
  <c r="AN82" i="2"/>
  <c r="AR81" i="2"/>
  <c r="AP81" i="2"/>
  <c r="AN81" i="2"/>
  <c r="AR80" i="2"/>
  <c r="AP80" i="2"/>
  <c r="AN80" i="2"/>
  <c r="AR79" i="2"/>
  <c r="AP79" i="2"/>
  <c r="AN79" i="2"/>
  <c r="AR78" i="2"/>
  <c r="AP78" i="2"/>
  <c r="AN78" i="2"/>
  <c r="AR77" i="2"/>
  <c r="AP77" i="2"/>
  <c r="AN77" i="2"/>
  <c r="AR76" i="2"/>
  <c r="AP76" i="2"/>
  <c r="AN76" i="2"/>
  <c r="AR75" i="2"/>
  <c r="AP75" i="2"/>
  <c r="AN75" i="2"/>
  <c r="AR74" i="2"/>
  <c r="AP74" i="2"/>
  <c r="AN74" i="2"/>
  <c r="AR73" i="2"/>
  <c r="AP73" i="2"/>
  <c r="AN73" i="2"/>
  <c r="AR72" i="2"/>
  <c r="AP72" i="2"/>
  <c r="AN72" i="2"/>
  <c r="AR71" i="2"/>
  <c r="AP71" i="2"/>
  <c r="AN71" i="2"/>
  <c r="AR70" i="2"/>
  <c r="AP70" i="2"/>
  <c r="AN70" i="2"/>
  <c r="AR69" i="2"/>
  <c r="AP69" i="2"/>
  <c r="AN69" i="2"/>
  <c r="AR68" i="2"/>
  <c r="AP68" i="2"/>
  <c r="AN68" i="2"/>
  <c r="AR67" i="2"/>
  <c r="AP67" i="2"/>
  <c r="AN67" i="2"/>
  <c r="AR66" i="2"/>
  <c r="AP66" i="2"/>
  <c r="AN66" i="2"/>
  <c r="AR65" i="2"/>
  <c r="AP65" i="2"/>
  <c r="AN65" i="2"/>
  <c r="AR64" i="2"/>
  <c r="AP64" i="2"/>
  <c r="AN64" i="2"/>
  <c r="AR62" i="2"/>
  <c r="AP62" i="2"/>
  <c r="AN62" i="2"/>
  <c r="AR61" i="2"/>
  <c r="AP61" i="2"/>
  <c r="AN61" i="2"/>
  <c r="AR60" i="2"/>
  <c r="AP60" i="2"/>
  <c r="AN60" i="2"/>
  <c r="AR59" i="2"/>
  <c r="AP59" i="2"/>
  <c r="AN59" i="2"/>
  <c r="AR58" i="2"/>
  <c r="AP58" i="2"/>
  <c r="AN58" i="2"/>
  <c r="AR57" i="2"/>
  <c r="AP57" i="2"/>
  <c r="AN57" i="2"/>
  <c r="AR56" i="2"/>
  <c r="AP56" i="2"/>
  <c r="AN56" i="2"/>
  <c r="AR55" i="2"/>
  <c r="AP55" i="2"/>
  <c r="AN55" i="2"/>
  <c r="AR54" i="2"/>
  <c r="AP54" i="2"/>
  <c r="AN54" i="2"/>
  <c r="AR53" i="2"/>
  <c r="AP53" i="2"/>
  <c r="AN53" i="2"/>
  <c r="AR52" i="2"/>
  <c r="AP52" i="2"/>
  <c r="AN52" i="2"/>
  <c r="AR51" i="2"/>
  <c r="AP51" i="2"/>
  <c r="AN51" i="2"/>
  <c r="AR50" i="2"/>
  <c r="AP50" i="2"/>
  <c r="AN50" i="2"/>
  <c r="AR49" i="2"/>
  <c r="AP49" i="2"/>
  <c r="AN49" i="2"/>
  <c r="AR48" i="2"/>
  <c r="AP48" i="2"/>
  <c r="AN48" i="2"/>
  <c r="AR47" i="2"/>
  <c r="AP47" i="2"/>
  <c r="AN47" i="2"/>
  <c r="AR46" i="2"/>
  <c r="AP46" i="2"/>
  <c r="AN46" i="2"/>
  <c r="AR45" i="2"/>
  <c r="AP45" i="2"/>
  <c r="AN45" i="2"/>
  <c r="AR44" i="2"/>
  <c r="AP44" i="2"/>
  <c r="AN44" i="2"/>
  <c r="AR43" i="2"/>
  <c r="AP43" i="2"/>
  <c r="AN43" i="2"/>
  <c r="AR42" i="2"/>
  <c r="AP42" i="2"/>
  <c r="AN42" i="2"/>
  <c r="AR41" i="2"/>
  <c r="AP41" i="2"/>
  <c r="AN41" i="2"/>
  <c r="AR40" i="2"/>
  <c r="AP40" i="2"/>
  <c r="AN40" i="2"/>
  <c r="AR39" i="2"/>
  <c r="AP39" i="2"/>
  <c r="AN39" i="2"/>
  <c r="AR38" i="2"/>
  <c r="AP38" i="2"/>
  <c r="AN38" i="2"/>
  <c r="AR37" i="2"/>
  <c r="AP37" i="2"/>
  <c r="AN37" i="2"/>
  <c r="AR35" i="2"/>
  <c r="AP35" i="2"/>
  <c r="AN35" i="2"/>
  <c r="AR34" i="2"/>
  <c r="AP34" i="2"/>
  <c r="AN34" i="2"/>
  <c r="AR33" i="2"/>
  <c r="AP33" i="2"/>
  <c r="AN33" i="2"/>
  <c r="AR32" i="2"/>
  <c r="AP32" i="2"/>
  <c r="AN32" i="2"/>
  <c r="AR31" i="2"/>
  <c r="AP31" i="2"/>
  <c r="AN31" i="2"/>
  <c r="AR30" i="2"/>
  <c r="AP30" i="2"/>
  <c r="AN30" i="2"/>
  <c r="AR29" i="2"/>
  <c r="AP29" i="2"/>
  <c r="AN29" i="2"/>
  <c r="AR28" i="2"/>
  <c r="AP28" i="2"/>
  <c r="AN28" i="2"/>
  <c r="AR27" i="2"/>
  <c r="AP27" i="2"/>
  <c r="AN27" i="2"/>
  <c r="AR26" i="2"/>
  <c r="AP26" i="2"/>
  <c r="AN26" i="2"/>
  <c r="AR25" i="2"/>
  <c r="AP25" i="2"/>
  <c r="AN25" i="2"/>
  <c r="AR24" i="2"/>
  <c r="AP24" i="2"/>
  <c r="AN24" i="2"/>
  <c r="AR23" i="2"/>
  <c r="AP23" i="2"/>
  <c r="AN23" i="2"/>
  <c r="AR22" i="2"/>
  <c r="AP22" i="2"/>
  <c r="AN22" i="2"/>
  <c r="AR21" i="2"/>
  <c r="AP21" i="2"/>
  <c r="AN21" i="2"/>
  <c r="AR20" i="2"/>
  <c r="AP20" i="2"/>
  <c r="AN20" i="2"/>
  <c r="AR19" i="2"/>
  <c r="AP19" i="2"/>
  <c r="AN19" i="2"/>
  <c r="AR18" i="2"/>
  <c r="AR17" i="2"/>
  <c r="AP18" i="2"/>
  <c r="AN18" i="2"/>
  <c r="AP17" i="2"/>
  <c r="AN17" i="2"/>
  <c r="AP16" i="2"/>
  <c r="AN16" i="2"/>
  <c r="AP15" i="2"/>
  <c r="AN15" i="2"/>
  <c r="AP14" i="2"/>
  <c r="AN14" i="2"/>
  <c r="AP13" i="2"/>
  <c r="AN13" i="2"/>
  <c r="AP12" i="2"/>
  <c r="AN12" i="2"/>
  <c r="AP11" i="2"/>
  <c r="AN11" i="2"/>
  <c r="AU12" i="2" l="1"/>
  <c r="BB12" i="2" s="1"/>
  <c r="AT15" i="2"/>
  <c r="AT12" i="2"/>
  <c r="AZ12" i="2" s="1"/>
  <c r="AU15" i="2"/>
  <c r="AU14" i="2"/>
  <c r="AT16" i="2"/>
  <c r="AT14" i="2"/>
  <c r="AU16" i="2"/>
  <c r="AU13" i="2"/>
  <c r="AU11" i="2"/>
  <c r="BB11" i="2" s="1"/>
  <c r="AT11" i="2"/>
  <c r="I18" i="7"/>
  <c r="K18" i="7" s="1"/>
  <c r="BF9" i="2"/>
  <c r="AR9" i="2"/>
  <c r="E20" i="7" s="1"/>
  <c r="BJ9" i="2"/>
  <c r="AT13" i="2"/>
  <c r="AZ13" i="2" s="1"/>
  <c r="AZ9" i="2" s="1"/>
  <c r="AY9" i="2"/>
  <c r="BG9" i="2"/>
  <c r="BD9" i="2"/>
  <c r="BH9" i="2"/>
  <c r="AI9" i="2"/>
  <c r="BI9" i="2"/>
  <c r="AN9" i="2"/>
  <c r="BL9" i="2"/>
  <c r="AW9" i="2"/>
  <c r="J22" i="7" s="1"/>
  <c r="AL9" i="2"/>
  <c r="AV9" i="2"/>
  <c r="I22" i="7" s="1"/>
  <c r="AP9" i="2"/>
  <c r="AK9" i="2"/>
  <c r="I24" i="7" s="1"/>
  <c r="BN9" i="2"/>
  <c r="BM9" i="2"/>
  <c r="AO9" i="2"/>
  <c r="BC9" i="2"/>
  <c r="AH9" i="2"/>
  <c r="D30" i="7" s="1"/>
  <c r="BA9" i="2"/>
  <c r="BE9" i="2"/>
  <c r="AF9" i="2"/>
  <c r="D29" i="7" s="1"/>
  <c r="AJ9" i="2"/>
  <c r="AE9" i="2"/>
  <c r="C29" i="7" s="1"/>
  <c r="AG9" i="2"/>
  <c r="C30" i="7" s="1"/>
  <c r="AM9" i="2"/>
  <c r="AQ9" i="2"/>
  <c r="E11" i="7" s="1"/>
  <c r="BB9" i="2" l="1"/>
  <c r="J23" i="7" s="1"/>
  <c r="AU9" i="2"/>
  <c r="J21" i="7" s="1"/>
  <c r="J25" i="7"/>
  <c r="AT9" i="2"/>
  <c r="I21" i="7" s="1"/>
  <c r="I25" i="7"/>
  <c r="I23" i="7"/>
  <c r="D31" i="7"/>
  <c r="E18" i="7"/>
  <c r="E12" i="7" s="1"/>
  <c r="E14" i="7" s="1"/>
  <c r="J31" i="7" s="1"/>
  <c r="E21" i="7"/>
  <c r="E30" i="7"/>
  <c r="E19" i="7"/>
  <c r="E29" i="7"/>
  <c r="AD9" i="7"/>
  <c r="C31" i="7"/>
  <c r="J28" i="7" l="1"/>
  <c r="J29" i="7" s="1"/>
  <c r="J30" i="7" s="1"/>
  <c r="E31" i="7"/>
  <c r="E22" i="7"/>
  <c r="E2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Pc-Sabbioni_w7</author>
  </authors>
  <commentList>
    <comment ref="J12" authorId="0" shapeId="0" xr:uid="{00000000-0006-0000-0000-000001000000}">
      <text>
        <r>
          <rPr>
            <b/>
            <sz val="9"/>
            <color indexed="81"/>
            <rFont val="Tahoma"/>
            <family val="2"/>
          </rPr>
          <t>NOTA: Costi indicativi Taxi x singola tratta
Balance - Malpensa : 110€
Balance - Linate : 50€
Balance - Orio : 75€</t>
        </r>
      </text>
    </comment>
  </commentList>
</comments>
</file>

<file path=xl/sharedStrings.xml><?xml version="1.0" encoding="utf-8"?>
<sst xmlns="http://schemas.openxmlformats.org/spreadsheetml/2006/main" count="281" uniqueCount="228">
  <si>
    <t>Tipo</t>
  </si>
  <si>
    <t>Varie</t>
  </si>
  <si>
    <t>Data</t>
  </si>
  <si>
    <t>Importo</t>
  </si>
  <si>
    <t>Valuta</t>
  </si>
  <si>
    <t>Rappresentanza</t>
  </si>
  <si>
    <t>CAUSALI SPESE</t>
  </si>
  <si>
    <t>Spostamenti</t>
  </si>
  <si>
    <t>€</t>
  </si>
  <si>
    <t>N° Ric.</t>
  </si>
  <si>
    <t>Contante</t>
  </si>
  <si>
    <t>Causale</t>
  </si>
  <si>
    <t>Mod. Pagamento</t>
  </si>
  <si>
    <t>NON Giustific.</t>
  </si>
  <si>
    <t>ON/OFF</t>
  </si>
  <si>
    <t>X</t>
  </si>
  <si>
    <t>Firma:</t>
  </si>
  <si>
    <t>CAUSALI PAGAMENTI</t>
  </si>
  <si>
    <t>Vitto/Alloggio</t>
  </si>
  <si>
    <t>Autore:</t>
  </si>
  <si>
    <t>Euro resi</t>
  </si>
  <si>
    <t>Carburante IT</t>
  </si>
  <si>
    <t>GESTIONE CONTANTI</t>
  </si>
  <si>
    <t>Euro contanti spesi</t>
  </si>
  <si>
    <t>Rimanenza Euro</t>
  </si>
  <si>
    <t>Euro</t>
  </si>
  <si>
    <t>Tot (in Euro)</t>
  </si>
  <si>
    <t>Non Giustificate</t>
  </si>
  <si>
    <t>APPROVAZIONE</t>
  </si>
  <si>
    <t>TOT</t>
  </si>
  <si>
    <t>Data Inizio :</t>
  </si>
  <si>
    <t>Data Fine :</t>
  </si>
  <si>
    <t>Luogo :</t>
  </si>
  <si>
    <t>Tipo :</t>
  </si>
  <si>
    <t>VALUTA ESTERA</t>
  </si>
  <si>
    <t>Valuta Estera</t>
  </si>
  <si>
    <t>Tipo Valuta</t>
  </si>
  <si>
    <t>CC</t>
  </si>
  <si>
    <t>Con Fattura</t>
  </si>
  <si>
    <t>Euro prelevati CC</t>
  </si>
  <si>
    <t>SPESE FATTURATE PAGATE DA CONTO BS</t>
  </si>
  <si>
    <t>Cambio € -&gt; Valuta</t>
  </si>
  <si>
    <t>Cambio Valuta -&gt; €</t>
  </si>
  <si>
    <t>Tot € Cambiati</t>
  </si>
  <si>
    <t>Contanti</t>
  </si>
  <si>
    <t>Tot Valuta Spesa (contanti)</t>
  </si>
  <si>
    <t>Valuta Prelevata CC</t>
  </si>
  <si>
    <t>Tasso di cambio di rif.</t>
  </si>
  <si>
    <t>CC-Visa</t>
  </si>
  <si>
    <t>CC-Master</t>
  </si>
  <si>
    <t>Valuta da rendere</t>
  </si>
  <si>
    <t>---</t>
  </si>
  <si>
    <t>Cliente :</t>
  </si>
  <si>
    <t>Tot Valuta da Cambi</t>
  </si>
  <si>
    <t>Differenza ricevuta-resa</t>
  </si>
  <si>
    <t>RIASSUNTO DATI CONTABILI</t>
  </si>
  <si>
    <t xml:space="preserve">Confort Viaggi  rif: </t>
  </si>
  <si>
    <t xml:space="preserve">TAXI EMMEPI, </t>
  </si>
  <si>
    <t>TOTALI CONTABILI</t>
  </si>
  <si>
    <t>Prelievo Contante</t>
  </si>
  <si>
    <t xml:space="preserve">  </t>
  </si>
  <si>
    <t>Euro anticipati</t>
  </si>
  <si>
    <t>Fiera</t>
  </si>
  <si>
    <t>Altro Personale BS 1 :</t>
  </si>
  <si>
    <t>Altro Personale BS 2 :</t>
  </si>
  <si>
    <t>Altro Personale BS 3 :</t>
  </si>
  <si>
    <t>Valuta Resa</t>
  </si>
  <si>
    <t>N° Notti Italia :</t>
  </si>
  <si>
    <t>N° Notti Estero :</t>
  </si>
  <si>
    <t>AVIS</t>
  </si>
  <si>
    <t>Tot Pagamenti CC</t>
  </si>
  <si>
    <t>Pagamenti in Contanti</t>
  </si>
  <si>
    <t>Rifornimenti IT</t>
  </si>
  <si>
    <t>€ Tot Contabile (Cont. + CC)</t>
  </si>
  <si>
    <t>Dip. Esecutore :</t>
  </si>
  <si>
    <t>Traf. Commerciale IT</t>
  </si>
  <si>
    <t>Traf. Commerciale EXT</t>
  </si>
  <si>
    <t>Visita Fornitori</t>
  </si>
  <si>
    <t>Causale:</t>
  </si>
  <si>
    <t>Altro (vedi causale)</t>
  </si>
  <si>
    <t>Centro Costo/PRG :</t>
  </si>
  <si>
    <t>TOTALE</t>
  </si>
  <si>
    <t>Valuta anticipata</t>
  </si>
  <si>
    <t>RIASSUNTO SPESE TRASFERTA</t>
  </si>
  <si>
    <t>ELENCO SPESE USCITA/TRASFERTA</t>
  </si>
  <si>
    <t xml:space="preserve">FIRMA DIPENDENTE </t>
  </si>
  <si>
    <t xml:space="preserve">Tot km da Rimborsare: </t>
  </si>
  <si>
    <t>Tot (in Valuta)</t>
  </si>
  <si>
    <t>RIMBORSO CHILOMETRICO PER USO AUTO PRORPIA</t>
  </si>
  <si>
    <t>TOTALI PER SINGOLE CAUSALI</t>
  </si>
  <si>
    <t>ELENCO TRAGITTI PER RIMBORSO KM</t>
  </si>
  <si>
    <t>km</t>
  </si>
  <si>
    <t>€ Tot da Restituire</t>
  </si>
  <si>
    <t>TOTALE DA RIMBORSARE:</t>
  </si>
  <si>
    <t>TOTALE Km :</t>
  </si>
  <si>
    <t>N°</t>
  </si>
  <si>
    <t>NB: In mancanza del dettaglio costi utilizzare costi indicativi in nota</t>
  </si>
  <si>
    <t>€ Tot Trasferta</t>
  </si>
  <si>
    <t xml:space="preserve">ATTENZIONE!!! ERRORE DI COMPILAZIONE </t>
  </si>
  <si>
    <t>PAGINA 2</t>
  </si>
  <si>
    <t>PAGINA 3</t>
  </si>
  <si>
    <t>PAGINA 4</t>
  </si>
  <si>
    <t>Tot €</t>
  </si>
  <si>
    <t>Costo medio giornaliero</t>
  </si>
  <si>
    <t>DATI TRASFERTA</t>
  </si>
  <si>
    <t>NOTE PER LA COMPILAZIONE:</t>
  </si>
  <si>
    <t>Il modulo deve essere utilizzato da tutto coloro che, per conto dell'azienda, hanno sostenuto delle spese sia in contanti che con  carta di credito aziendale.</t>
  </si>
  <si>
    <t>I campi vanno compilati utilizzando la tendina sulla destra di ogni colonna ad esclusione della colonna" D " CAUSALE" dove va inserito il dettaglio della spesa effettuata.</t>
  </si>
  <si>
    <t xml:space="preserve">Il campo  di cui alla colonna "I" "  NON GIUST" va compilato solo nel caso in cui manca il giustificativo della spesa. </t>
  </si>
  <si>
    <t xml:space="preserve">Tutti gli importi inseriti nei fogli "RIMBORSO SPESE" e" RIMBORSO KM"   verranno automaticamente riportati nel foglio RIEPILOGO SPESE DI TRASFERTA </t>
  </si>
  <si>
    <t>Prima della consegna il modulo va stampato, allegato ai giustificativi, firmato dal dipendente e approvato dal responsabile</t>
  </si>
  <si>
    <t>Nel caso in cui è previsto solo il rimborso spese e non il rimborso km o viceversa, non è necessario compilare anche il riepilogo</t>
  </si>
  <si>
    <t>Elenco spese uscita/trasferta - modulo</t>
  </si>
  <si>
    <t>Riassunto spese trasferta - modulo</t>
  </si>
  <si>
    <t>PAGINA 5</t>
  </si>
  <si>
    <t>Elenco tragitti per rimborso km - modulo</t>
  </si>
  <si>
    <t xml:space="preserve">Nota Spese </t>
  </si>
  <si>
    <t>Doc. rimborso KM   rev.04</t>
  </si>
  <si>
    <t>ATTENZIONE!!! ERRORE COMPILAZIONE ELENCO_SPESE</t>
  </si>
  <si>
    <r>
      <t>1</t>
    </r>
    <r>
      <rPr>
        <b/>
        <sz val="7"/>
        <rFont val="Avenir LT Std 55 Roman"/>
        <family val="2"/>
      </rPr>
      <t xml:space="preserve">                   </t>
    </r>
    <r>
      <rPr>
        <b/>
        <sz val="14"/>
        <rFont val="Avenir LT Std 55 Roman"/>
        <family val="2"/>
      </rPr>
      <t>OBIETTIVO</t>
    </r>
  </si>
  <si>
    <t>Definire regole, comportamenti e modalità operative per il rimborso delle spese effettuate durante le trasferte effettuate dal personale Balance Systems.</t>
  </si>
  <si>
    <r>
      <t>2</t>
    </r>
    <r>
      <rPr>
        <b/>
        <sz val="7"/>
        <rFont val="Avenir LT Std 55 Roman"/>
        <family val="2"/>
      </rPr>
      <t xml:space="preserve">                   </t>
    </r>
    <r>
      <rPr>
        <b/>
        <sz val="14"/>
        <rFont val="Avenir LT Std 55 Roman"/>
        <family val="2"/>
      </rPr>
      <t>NORME E INDICAZIONI DI CARATTERE GENERALE</t>
    </r>
  </si>
  <si>
    <r>
      <t>2.1</t>
    </r>
    <r>
      <rPr>
        <b/>
        <i/>
        <sz val="7"/>
        <rFont val="Avenir LT Std 55 Roman"/>
        <family val="2"/>
      </rPr>
      <t xml:space="preserve">            </t>
    </r>
    <r>
      <rPr>
        <b/>
        <i/>
        <sz val="14"/>
        <rFont val="Avenir LT Std 55 Roman"/>
        <family val="2"/>
      </rPr>
      <t>Procedura operativa</t>
    </r>
  </si>
  <si>
    <r>
      <t>a)</t>
    </r>
    <r>
      <rPr>
        <sz val="7"/>
        <rFont val="Avenir LT Std 55 Roman"/>
        <family val="2"/>
      </rPr>
      <t xml:space="preserve">      </t>
    </r>
    <r>
      <rPr>
        <sz val="12"/>
        <rFont val="Avenir LT Std 55 Roman"/>
        <family val="2"/>
      </rPr>
      <t xml:space="preserve">Le trasferte devono essere preventivamente autorizzate dal responsabile e legate al relativo centro di costo e processo in GALILEO. Il Dipendente ha inoltre l’obbligo di segnalare preventivamente la sua assenza all’ufficio personale. </t>
    </r>
  </si>
  <si>
    <r>
      <t>b)</t>
    </r>
    <r>
      <rPr>
        <sz val="7"/>
        <rFont val="Avenir LT Std 55 Roman"/>
        <family val="2"/>
      </rPr>
      <t xml:space="preserve">      </t>
    </r>
    <r>
      <rPr>
        <sz val="12"/>
        <rFont val="Avenir LT Std 55 Roman"/>
        <family val="2"/>
      </rPr>
      <t>Durante la trasferta il Dipendente ha il dovere di registrare tutte le spese effettuate sul modulo “RIMBORSO SPESE”, archiviando le ricevute, secondo le modalità descritte al punto 3.1</t>
    </r>
  </si>
  <si>
    <r>
      <t>c)</t>
    </r>
    <r>
      <rPr>
        <sz val="7"/>
        <rFont val="Avenir LT Std 55 Roman"/>
        <family val="2"/>
      </rPr>
      <t xml:space="preserve">      </t>
    </r>
    <r>
      <rPr>
        <sz val="12"/>
        <rFont val="Avenir LT Std 55 Roman"/>
        <family val="2"/>
      </rPr>
      <t>Al rientro in sede il Dipendente provvederà a completare i campi mancanti del modulo “RIEPILOGO SPESE TRASFERTA”.</t>
    </r>
  </si>
  <si>
    <r>
      <t>d)</t>
    </r>
    <r>
      <rPr>
        <sz val="7"/>
        <rFont val="Avenir LT Std 55 Roman"/>
        <family val="2"/>
      </rPr>
      <t xml:space="preserve">     </t>
    </r>
    <r>
      <rPr>
        <sz val="12"/>
        <rFont val="Avenir LT Std 55 Roman"/>
        <family val="2"/>
      </rPr>
      <t>Terminata la consuntivazione la nota spese va firmata dal Dipendente esecutore e dal responsabile per approvazione.</t>
    </r>
  </si>
  <si>
    <r>
      <t>e)</t>
    </r>
    <r>
      <rPr>
        <sz val="7"/>
        <rFont val="Avenir LT Std 55 Roman"/>
        <family val="2"/>
      </rPr>
      <t xml:space="preserve">      </t>
    </r>
    <r>
      <rPr>
        <sz val="12"/>
        <rFont val="Avenir LT Std 55 Roman"/>
        <family val="2"/>
      </rPr>
      <t>La nota spese, composta da tutti i suoi moduli, debitamente firmata e corredata dei giustificativi, va consegnata all’Ufficio Amministrazione nel più breve tempo possibile dalla fine dell’intervento.</t>
    </r>
  </si>
  <si>
    <r>
      <t>f)</t>
    </r>
    <r>
      <rPr>
        <sz val="7"/>
        <rFont val="Avenir LT Std 55 Roman"/>
        <family val="2"/>
      </rPr>
      <t xml:space="preserve">       </t>
    </r>
    <r>
      <rPr>
        <sz val="12"/>
        <rFont val="Avenir LT Std 55 Roman"/>
        <family val="2"/>
      </rPr>
      <t>La nota spese in formato digitale va inviata via mail all’Uff. Personale per archiviazione</t>
    </r>
  </si>
  <si>
    <r>
      <t>2.2</t>
    </r>
    <r>
      <rPr>
        <b/>
        <i/>
        <sz val="7"/>
        <rFont val="Avenir LT Std 55 Roman"/>
        <family val="2"/>
      </rPr>
      <t xml:space="preserve">            </t>
    </r>
    <r>
      <rPr>
        <b/>
        <i/>
        <sz val="14"/>
        <rFont val="Avenir LT Std 55 Roman"/>
        <family val="2"/>
      </rPr>
      <t>Gestione spese</t>
    </r>
  </si>
  <si>
    <r>
      <t>a)</t>
    </r>
    <r>
      <rPr>
        <sz val="7"/>
        <rFont val="Avenir LT Std 55 Roman"/>
        <family val="2"/>
      </rPr>
      <t xml:space="preserve">      </t>
    </r>
    <r>
      <rPr>
        <sz val="12"/>
        <rFont val="Avenir LT Std 55 Roman"/>
        <family val="2"/>
      </rPr>
      <t>Il Dipendente è tenuto, dove possibile, al pagamento tramite Carta di Credito. Nei casi dove questo sia impossibile ha a disposizione il fondo contanti con cui provvedere al pagamento.</t>
    </r>
  </si>
  <si>
    <r>
      <t>b)</t>
    </r>
    <r>
      <rPr>
        <sz val="7"/>
        <rFont val="Avenir LT Std 55 Roman"/>
        <family val="2"/>
      </rPr>
      <t xml:space="preserve">      </t>
    </r>
    <r>
      <rPr>
        <sz val="12"/>
        <rFont val="Avenir LT Std 55 Roman"/>
        <family val="2"/>
      </rPr>
      <t>Ogni spesa deve presentare un giustificativo cartaceo</t>
    </r>
    <r>
      <rPr>
        <sz val="10"/>
        <rFont val="Avenir LT Std 55 Roman"/>
        <family val="2"/>
      </rPr>
      <t>. (NB: La ricevuta del pagamento con CC non è fiscalmente considerabile come giustificativo, serve la ricevuta.)</t>
    </r>
  </si>
  <si>
    <r>
      <t>c)</t>
    </r>
    <r>
      <rPr>
        <sz val="7"/>
        <rFont val="Avenir LT Std 55 Roman"/>
        <family val="2"/>
      </rPr>
      <t xml:space="preserve">      </t>
    </r>
    <r>
      <rPr>
        <sz val="12"/>
        <rFont val="Avenir LT Std 55 Roman"/>
        <family val="2"/>
      </rPr>
      <t xml:space="preserve">Nel caso di SPESE PRIVE DI GIUTIFICATIVO, queste vanno segnalate sul modulo “RIMBORSO SPESE”, specificando nella causale il tipo di spesa e la motivazione della mancanza del giustificativo. </t>
    </r>
  </si>
  <si>
    <r>
      <t>d)</t>
    </r>
    <r>
      <rPr>
        <sz val="7"/>
        <rFont val="Avenir LT Std 55 Roman"/>
        <family val="2"/>
      </rPr>
      <t xml:space="preserve">     </t>
    </r>
    <r>
      <rPr>
        <sz val="12"/>
        <rFont val="Avenir LT Std 55 Roman"/>
        <family val="2"/>
      </rPr>
      <t xml:space="preserve">In caso di emergenza il Dipendente ha facoltà di prelevare euro o valuta estera con la CC aziendale. </t>
    </r>
  </si>
  <si>
    <t xml:space="preserve">   </t>
  </si>
  <si>
    <r>
      <t>2.3</t>
    </r>
    <r>
      <rPr>
        <b/>
        <i/>
        <sz val="7"/>
        <rFont val="Avenir LT Std 55 Roman"/>
        <family val="2"/>
      </rPr>
      <t xml:space="preserve">            </t>
    </r>
    <r>
      <rPr>
        <b/>
        <i/>
        <sz val="14"/>
        <rFont val="Avenir LT Std 55 Roman"/>
        <family val="2"/>
      </rPr>
      <t xml:space="preserve">Anticipo contante e liquidazione del rimborso </t>
    </r>
  </si>
  <si>
    <t>La gestione del contante durante le trasferte può avvenire secondo le seguenti modalità:</t>
  </si>
  <si>
    <r>
      <t>a)</t>
    </r>
    <r>
      <rPr>
        <sz val="7"/>
        <rFont val="Avenir LT Std 55 Roman"/>
        <family val="2"/>
      </rPr>
      <t xml:space="preserve">      </t>
    </r>
    <r>
      <rPr>
        <sz val="12"/>
        <rFont val="Avenir LT Std 55 Roman"/>
        <family val="2"/>
      </rPr>
      <t xml:space="preserve">UTILIZZO FONDO CASSA: </t>
    </r>
  </si>
  <si>
    <r>
      <t>o</t>
    </r>
    <r>
      <rPr>
        <sz val="7"/>
        <rFont val="Avenir LT Std 55 Roman"/>
        <family val="2"/>
      </rPr>
      <t xml:space="preserve">       </t>
    </r>
    <r>
      <rPr>
        <sz val="12"/>
        <rFont val="Avenir LT Std 55 Roman"/>
        <family val="2"/>
      </rPr>
      <t xml:space="preserve">Ad ogni Dipendente  verranno erogate  € 500 come anticipo sulle spese effettuate in contanti durante le trasferte . </t>
    </r>
  </si>
  <si>
    <r>
      <t>o</t>
    </r>
    <r>
      <rPr>
        <sz val="7"/>
        <rFont val="Avenir LT Std 55 Roman"/>
        <family val="2"/>
      </rPr>
      <t xml:space="preserve">       </t>
    </r>
    <r>
      <rPr>
        <sz val="12"/>
        <rFont val="Avenir LT Std 55 Roman"/>
        <family val="2"/>
      </rPr>
      <t>Il fondo d’anticipo è da utilizzare per il pagamento di tutte le spese effettuate in contanti dal Dipendente  durante le trasferte. Il rilascio di contanti extra da parte dell’amministrazione sarà effettuato solo a seguito di richiesta motivata del responsabile.</t>
    </r>
  </si>
  <si>
    <r>
      <t>o</t>
    </r>
    <r>
      <rPr>
        <sz val="7"/>
        <rFont val="Avenir LT Std 55 Roman"/>
        <family val="2"/>
      </rPr>
      <t xml:space="preserve">       </t>
    </r>
    <r>
      <rPr>
        <sz val="12"/>
        <rFont val="Avenir LT Std 55 Roman"/>
        <family val="2"/>
      </rPr>
      <t>Ogni mese l’azienda provvederà a rimborsare i contanti spesi dal Dipendente, reintegrando il fondo personale della parte mancante, calcolata come somma dei singoli rimborsi accumulati nelle note spese del mese in oggetto. L’anticipo e i successivi reintegri verranno regolarmente registrati a cedolino.</t>
    </r>
  </si>
  <si>
    <r>
      <t>o</t>
    </r>
    <r>
      <rPr>
        <sz val="7"/>
        <rFont val="Avenir LT Std 55 Roman"/>
        <family val="2"/>
      </rPr>
      <t xml:space="preserve">       </t>
    </r>
    <r>
      <rPr>
        <sz val="12"/>
        <rFont val="Avenir LT Std 55 Roman"/>
        <family val="2"/>
      </rPr>
      <t xml:space="preserve">In caso necessità il Dipendente  può richiedere all’ufficio Amministrazione un fondo contanti per sostenere le spese di trasferta. </t>
    </r>
  </si>
  <si>
    <r>
      <t>o</t>
    </r>
    <r>
      <rPr>
        <sz val="7"/>
        <rFont val="Avenir LT Std 55 Roman"/>
        <family val="2"/>
      </rPr>
      <t xml:space="preserve">       </t>
    </r>
    <r>
      <rPr>
        <sz val="12"/>
        <rFont val="Avenir LT Std 55 Roman"/>
        <family val="2"/>
      </rPr>
      <t>Al ritorno dalla trasferta il Dipendente provvederà a restituire il contante rimanente in Amministrazione contestualmente alla nota spese.</t>
    </r>
  </si>
  <si>
    <r>
      <t>o</t>
    </r>
    <r>
      <rPr>
        <sz val="7"/>
        <rFont val="Avenir LT Std 55 Roman"/>
        <family val="2"/>
      </rPr>
      <t xml:space="preserve">       </t>
    </r>
    <r>
      <rPr>
        <sz val="12"/>
        <rFont val="Avenir LT Std 55 Roman"/>
        <family val="2"/>
      </rPr>
      <t>L’ammontare del fondo ricevuto e quello riconsegnato verrà debitamente segnato sul modulo di RIEPILOGO SPESE TRASFERTA</t>
    </r>
  </si>
  <si>
    <r>
      <t>c)</t>
    </r>
    <r>
      <rPr>
        <sz val="7"/>
        <rFont val="Avenir LT Std 55 Roman"/>
        <family val="2"/>
      </rPr>
      <t xml:space="preserve">      </t>
    </r>
    <r>
      <rPr>
        <sz val="12"/>
        <rFont val="Avenir LT Std 55 Roman"/>
        <family val="2"/>
      </rPr>
      <t>UTILIZZO SOLDI PERSONALI:</t>
    </r>
  </si>
  <si>
    <r>
      <t>o</t>
    </r>
    <r>
      <rPr>
        <sz val="7"/>
        <rFont val="Avenir LT Std 55 Roman"/>
        <family val="2"/>
      </rPr>
      <t xml:space="preserve">       </t>
    </r>
    <r>
      <rPr>
        <sz val="12"/>
        <rFont val="Avenir LT Std 55 Roman"/>
        <family val="2"/>
      </rPr>
      <t>All’occorrenza il Dipendente ha la facoltà di utilizzare i propri soldi personali per la copertura delle spese di trasferta, segnando tutte le spese come “CONTANTE”.</t>
    </r>
  </si>
  <si>
    <r>
      <t>o</t>
    </r>
    <r>
      <rPr>
        <sz val="7"/>
        <rFont val="Avenir LT Std 55 Roman"/>
        <family val="2"/>
      </rPr>
      <t xml:space="preserve">       </t>
    </r>
    <r>
      <rPr>
        <sz val="12"/>
        <rFont val="Avenir LT Std 55 Roman"/>
        <family val="2"/>
      </rPr>
      <t xml:space="preserve">L’ammontare delle spese verrà rimborsato al Dipendente, alla chiusura della trasferta stessa.  </t>
    </r>
  </si>
  <si>
    <t xml:space="preserve">NOTE: Tutte le di SPESE PRIVE DI GIUTIFICATIVO, che non riceveranno l’approvazione del responsabile NON saranno rimborsate.    </t>
  </si>
  <si>
    <t xml:space="preserve"> </t>
  </si>
  <si>
    <r>
      <t>2.4</t>
    </r>
    <r>
      <rPr>
        <b/>
        <i/>
        <sz val="7"/>
        <rFont val="Avenir LT Std 55 Roman"/>
        <family val="2"/>
      </rPr>
      <t xml:space="preserve">            </t>
    </r>
    <r>
      <rPr>
        <b/>
        <i/>
        <sz val="14"/>
        <rFont val="Avenir LT Std 55 Roman"/>
        <family val="2"/>
      </rPr>
      <t>Compilazione nota spese con più partecipanti</t>
    </r>
  </si>
  <si>
    <r>
      <t>2.5</t>
    </r>
    <r>
      <rPr>
        <b/>
        <i/>
        <sz val="7"/>
        <rFont val="Avenir LT Std 55 Roman"/>
        <family val="2"/>
      </rPr>
      <t xml:space="preserve">            </t>
    </r>
    <r>
      <rPr>
        <b/>
        <i/>
        <sz val="14"/>
        <rFont val="Avenir LT Std 55 Roman"/>
        <family val="2"/>
      </rPr>
      <t>Fatturazione spese IT</t>
    </r>
  </si>
  <si>
    <r>
      <t>a)</t>
    </r>
    <r>
      <rPr>
        <sz val="7"/>
        <rFont val="Avenir LT Std 55 Roman"/>
        <family val="2"/>
      </rPr>
      <t xml:space="preserve">      </t>
    </r>
    <r>
      <rPr>
        <sz val="12"/>
        <rFont val="Avenir LT Std 55 Roman"/>
        <family val="2"/>
      </rPr>
      <t xml:space="preserve">Per le spese effettuate in Italia il Dipendente  ha l’obbligo, ove possibile, di farsi rilasciare fattura intestata a Balance Systems. I semplici scontrini fiscali sono comunque valevoli come giustificativo di spesa. Compito del responsabile è vigilare che sia rispettata l’indicazione di farsi rilasciare la fattura. </t>
    </r>
  </si>
  <si>
    <r>
      <t>2.6</t>
    </r>
    <r>
      <rPr>
        <b/>
        <i/>
        <sz val="7"/>
        <rFont val="Avenir LT Std 55 Roman"/>
        <family val="2"/>
      </rPr>
      <t xml:space="preserve">            </t>
    </r>
    <r>
      <rPr>
        <b/>
        <i/>
        <sz val="14"/>
        <rFont val="Avenir LT Std 55 Roman"/>
        <family val="2"/>
      </rPr>
      <t>Utilizzo auto aziendale</t>
    </r>
  </si>
  <si>
    <r>
      <t>a)</t>
    </r>
    <r>
      <rPr>
        <sz val="7"/>
        <rFont val="Avenir LT Std 55 Roman"/>
        <family val="2"/>
      </rPr>
      <t xml:space="preserve">      </t>
    </r>
    <r>
      <rPr>
        <sz val="12"/>
        <rFont val="Avenir LT Std 55 Roman"/>
        <family val="2"/>
      </rPr>
      <t>Nel caso venga utilizzata l’auto aziendale per la trasferta il Dipendente  ha l’obbligo di richiedere al distributore che venga inserito nella scheda carburante oltre al timbro dell’esercente anche l’importo speso.</t>
    </r>
  </si>
  <si>
    <r>
      <t>b)</t>
    </r>
    <r>
      <rPr>
        <sz val="7"/>
        <rFont val="Avenir LT Std 55 Roman"/>
        <family val="2"/>
      </rPr>
      <t xml:space="preserve">      </t>
    </r>
    <r>
      <rPr>
        <sz val="12"/>
        <rFont val="Avenir LT Std 55 Roman"/>
        <family val="2"/>
      </rPr>
      <t>E’ compito del Dipendente inserire nel modulo “ riassunto “RIEPILOGO SPESE TRASFERTA” la targa dell’auto e verificare l’esatta compilazione dei dati relativi ai rifornimenti.</t>
    </r>
  </si>
  <si>
    <r>
      <t>c)</t>
    </r>
    <r>
      <rPr>
        <sz val="7"/>
        <rFont val="Avenir LT Std 55 Roman"/>
        <family val="2"/>
      </rPr>
      <t xml:space="preserve">      </t>
    </r>
    <r>
      <rPr>
        <sz val="12"/>
        <rFont val="Avenir LT Std 55 Roman"/>
        <family val="2"/>
      </rPr>
      <t>Non è più richiesta la fotocopia della scheda carburante in quanto faranno fede i dati inseriti nella nota spese.</t>
    </r>
  </si>
  <si>
    <t>NOTA: L’inserimento delle spese per carburante in Italia è fondamentale per il quadro dei conti con le carte carburante ed è obbligatorio anche per i possessori di macchine ad uso esclusivo.</t>
  </si>
  <si>
    <r>
      <t>2.7</t>
    </r>
    <r>
      <rPr>
        <b/>
        <i/>
        <sz val="7"/>
        <rFont val="Avenir LT Std 55 Roman"/>
        <family val="2"/>
      </rPr>
      <t xml:space="preserve">            </t>
    </r>
    <r>
      <rPr>
        <b/>
        <i/>
        <sz val="14"/>
        <rFont val="Avenir LT Std 55 Roman"/>
        <family val="2"/>
      </rPr>
      <t>Gestione valuta estera</t>
    </r>
  </si>
  <si>
    <r>
      <t>a)</t>
    </r>
    <r>
      <rPr>
        <sz val="7"/>
        <rFont val="Avenir LT Std 55 Roman"/>
        <family val="2"/>
      </rPr>
      <t xml:space="preserve">      </t>
    </r>
    <r>
      <rPr>
        <sz val="12"/>
        <rFont val="Avenir LT Std 55 Roman"/>
        <family val="2"/>
      </rPr>
      <t xml:space="preserve">Nelle trasferte che richiedano valuta estera il Dipendente  ha facoltà di cambiare gli Euro in suo possesso in valuta estera. </t>
    </r>
  </si>
  <si>
    <r>
      <t>b)</t>
    </r>
    <r>
      <rPr>
        <sz val="7"/>
        <rFont val="Avenir LT Std 55 Roman"/>
        <family val="2"/>
      </rPr>
      <t xml:space="preserve">      </t>
    </r>
    <r>
      <rPr>
        <sz val="12"/>
        <rFont val="Avenir LT Std 55 Roman"/>
        <family val="2"/>
      </rPr>
      <t>Prima del rientro in sede tutta la valuta estera rimanente dovrà essere cambiata in Euro. Eventuali rimanenze andranno consegnate all’ufficio Amministrazione al rientro.</t>
    </r>
  </si>
  <si>
    <r>
      <t>c)</t>
    </r>
    <r>
      <rPr>
        <sz val="7"/>
        <rFont val="Avenir LT Std 55 Roman"/>
        <family val="2"/>
      </rPr>
      <t xml:space="preserve">      </t>
    </r>
    <r>
      <rPr>
        <sz val="12"/>
        <rFont val="Avenir LT Std 55 Roman"/>
        <family val="2"/>
      </rPr>
      <t xml:space="preserve">In caso di emergenza il Dipendente  ha la facoltà di prelevare valuta estera utilizzando la CC aziendale in dotazione. </t>
    </r>
  </si>
  <si>
    <r>
      <t>d)</t>
    </r>
    <r>
      <rPr>
        <sz val="7"/>
        <rFont val="Avenir LT Std 55 Roman"/>
        <family val="2"/>
      </rPr>
      <t xml:space="preserve">     </t>
    </r>
    <r>
      <rPr>
        <sz val="12"/>
        <rFont val="Avenir LT Std 55 Roman"/>
        <family val="2"/>
      </rPr>
      <t>Tutte le ricevute relative al cambio valuta andranno raccolte separatamente e inserite nell’apposito modulo “RIMBORSO SPESE” .</t>
    </r>
  </si>
  <si>
    <r>
      <t>e)</t>
    </r>
    <r>
      <rPr>
        <sz val="7"/>
        <rFont val="Avenir LT Std 55 Roman"/>
        <family val="2"/>
      </rPr>
      <t xml:space="preserve">      </t>
    </r>
    <r>
      <rPr>
        <sz val="12"/>
        <rFont val="Avenir LT Std 55 Roman"/>
        <family val="2"/>
      </rPr>
      <t xml:space="preserve">Nel modulo “RIEPILOGO SPESE TRASFERTA” andrà indicato il tasso di cambio di riferimento euro – valuta. </t>
    </r>
  </si>
  <si>
    <r>
      <t>3</t>
    </r>
    <r>
      <rPr>
        <b/>
        <sz val="7"/>
        <rFont val="Avenir LT Std 55 Roman"/>
        <family val="2"/>
      </rPr>
      <t xml:space="preserve">                   </t>
    </r>
    <r>
      <rPr>
        <b/>
        <sz val="14"/>
        <rFont val="Avenir LT Std 55 Roman"/>
        <family val="2"/>
      </rPr>
      <t>REGOLE COMPILAZIONE NOTA SEPSE</t>
    </r>
  </si>
  <si>
    <r>
      <t>3.1</t>
    </r>
    <r>
      <rPr>
        <b/>
        <i/>
        <sz val="7"/>
        <rFont val="Avenir LT Std 55 Roman"/>
        <family val="2"/>
      </rPr>
      <t xml:space="preserve">            </t>
    </r>
    <r>
      <rPr>
        <b/>
        <i/>
        <sz val="14"/>
        <rFont val="Avenir LT Std 55 Roman"/>
        <family val="2"/>
      </rPr>
      <t>MODULO “ROMBORSO SPESE”</t>
    </r>
  </si>
  <si>
    <r>
      <t>SCOPO</t>
    </r>
    <r>
      <rPr>
        <sz val="12"/>
        <rFont val="Avenir LT Std 55 Roman"/>
        <family val="2"/>
      </rPr>
      <t>: Il modulo ha lo scopo di registrare e classificare tutte le spese fatte dal Dipendente  durante la trasferta.</t>
    </r>
  </si>
  <si>
    <r>
      <t>UBICAZIONE</t>
    </r>
    <r>
      <rPr>
        <sz val="12"/>
        <rFont val="Avenir LT Std 55 Roman"/>
        <family val="2"/>
      </rPr>
      <t>: Y:\QUALITA\....</t>
    </r>
  </si>
  <si>
    <r>
      <t>COMPILAZIONE</t>
    </r>
    <r>
      <rPr>
        <sz val="12"/>
        <rFont val="Avenir LT Std 55 Roman"/>
        <family val="2"/>
      </rPr>
      <t>: Per ogni voce di spesa va indicata:</t>
    </r>
  </si>
  <si>
    <r>
      <t>-</t>
    </r>
    <r>
      <rPr>
        <sz val="7"/>
        <rFont val="Avenir LT Std 55 Roman"/>
        <family val="2"/>
      </rPr>
      <t xml:space="preserve">          </t>
    </r>
    <r>
      <rPr>
        <i/>
        <sz val="12"/>
        <rFont val="Avenir LT Std 55 Roman"/>
        <family val="2"/>
      </rPr>
      <t>Numero di ricevuta</t>
    </r>
    <r>
      <rPr>
        <sz val="12"/>
        <rFont val="Avenir LT Std 55 Roman"/>
        <family val="2"/>
      </rPr>
      <t>: Numero sequenziale da riportare a penna sulla ricevuta cartacea corrispondente alla spesa</t>
    </r>
  </si>
  <si>
    <r>
      <t>-</t>
    </r>
    <r>
      <rPr>
        <sz val="7"/>
        <rFont val="Avenir LT Std 55 Roman"/>
        <family val="2"/>
      </rPr>
      <t xml:space="preserve">          </t>
    </r>
    <r>
      <rPr>
        <i/>
        <sz val="12"/>
        <rFont val="Avenir LT Std 55 Roman"/>
        <family val="2"/>
      </rPr>
      <t>Data</t>
    </r>
  </si>
  <si>
    <r>
      <t>-</t>
    </r>
    <r>
      <rPr>
        <sz val="7"/>
        <rFont val="Avenir LT Std 55 Roman"/>
        <family val="2"/>
      </rPr>
      <t xml:space="preserve">          </t>
    </r>
    <r>
      <rPr>
        <i/>
        <sz val="12"/>
        <rFont val="Avenir LT Std 55 Roman"/>
        <family val="2"/>
      </rPr>
      <t>Classificazione tipo di spesa</t>
    </r>
    <r>
      <rPr>
        <sz val="12"/>
        <rFont val="Avenir LT Std 55 Roman"/>
        <family val="2"/>
      </rPr>
      <t xml:space="preserve"> : (Carburante IT, Vitto/Alloggio, Spostamenti, Varie, Cambio, Prelievo Contante) con le seguenti regole aggiuntive:</t>
    </r>
  </si>
  <si>
    <r>
      <t>o</t>
    </r>
    <r>
      <rPr>
        <sz val="7"/>
        <rFont val="Avenir LT Std 55 Roman"/>
        <family val="2"/>
      </rPr>
      <t xml:space="preserve">       </t>
    </r>
    <r>
      <rPr>
        <sz val="12"/>
        <rFont val="Avenir LT Std 55 Roman"/>
        <family val="2"/>
      </rPr>
      <t>Le spese “Varie” devono tassativamente avere una causale</t>
    </r>
  </si>
  <si>
    <r>
      <t>o</t>
    </r>
    <r>
      <rPr>
        <sz val="7"/>
        <rFont val="Avenir LT Std 55 Roman"/>
        <family val="2"/>
      </rPr>
      <t xml:space="preserve">       </t>
    </r>
    <r>
      <rPr>
        <sz val="12"/>
        <rFont val="Avenir LT Std 55 Roman"/>
        <family val="2"/>
      </rPr>
      <t xml:space="preserve">Le spese “Carburante IT” devono avere una corrispondenza sulla carta carburante </t>
    </r>
  </si>
  <si>
    <r>
      <t>-</t>
    </r>
    <r>
      <rPr>
        <sz val="7"/>
        <rFont val="Avenir LT Std 55 Roman"/>
        <family val="2"/>
      </rPr>
      <t xml:space="preserve">          </t>
    </r>
    <r>
      <rPr>
        <i/>
        <sz val="12"/>
        <rFont val="Avenir LT Std 55 Roman"/>
        <family val="2"/>
      </rPr>
      <t>Causale</t>
    </r>
  </si>
  <si>
    <r>
      <t>-</t>
    </r>
    <r>
      <rPr>
        <sz val="7"/>
        <rFont val="Avenir LT Std 55 Roman"/>
        <family val="2"/>
      </rPr>
      <t xml:space="preserve">          </t>
    </r>
    <r>
      <rPr>
        <i/>
        <sz val="12"/>
        <rFont val="Avenir LT Std 55 Roman"/>
        <family val="2"/>
      </rPr>
      <t>Importo</t>
    </r>
    <r>
      <rPr>
        <sz val="12"/>
        <rFont val="Avenir LT Std 55 Roman"/>
        <family val="2"/>
      </rPr>
      <t>: Da esprimere in Euro o in valuta estera</t>
    </r>
  </si>
  <si>
    <r>
      <t>-</t>
    </r>
    <r>
      <rPr>
        <sz val="7"/>
        <rFont val="Avenir LT Std 55 Roman"/>
        <family val="2"/>
      </rPr>
      <t xml:space="preserve">          </t>
    </r>
    <r>
      <rPr>
        <i/>
        <sz val="12"/>
        <rFont val="Avenir LT Std 55 Roman"/>
        <family val="2"/>
      </rPr>
      <t>Modalità di pagamento</t>
    </r>
    <r>
      <rPr>
        <sz val="12"/>
        <rFont val="Avenir LT Std 55 Roman"/>
        <family val="2"/>
      </rPr>
      <t xml:space="preserve">: Contante o Carta di credito (in questo caso è necessario specificare di quale circuito: American Express, Visa/Carta Sì, Mastercard) </t>
    </r>
  </si>
  <si>
    <r>
      <t>-</t>
    </r>
    <r>
      <rPr>
        <sz val="7"/>
        <rFont val="Avenir LT Std 55 Roman"/>
        <family val="2"/>
      </rPr>
      <t xml:space="preserve">          </t>
    </r>
    <r>
      <rPr>
        <i/>
        <sz val="12"/>
        <rFont val="Avenir LT Std 55 Roman"/>
        <family val="2"/>
      </rPr>
      <t>Con Fattura</t>
    </r>
    <r>
      <rPr>
        <sz val="12"/>
        <rFont val="Avenir LT Std 55 Roman"/>
        <family val="2"/>
      </rPr>
      <t xml:space="preserve">: Per spese effettuate in Italia, il flag indica che questa è stata fatturata. In caso contrario la spesa sarà corredata di una semplice ricevuta (scontrino fiscale) </t>
    </r>
  </si>
  <si>
    <r>
      <t>-</t>
    </r>
    <r>
      <rPr>
        <sz val="7"/>
        <rFont val="Avenir LT Std 55 Roman"/>
        <family val="2"/>
      </rPr>
      <t xml:space="preserve">          </t>
    </r>
    <r>
      <rPr>
        <i/>
        <sz val="12"/>
        <rFont val="Avenir LT Std 55 Roman"/>
        <family val="2"/>
      </rPr>
      <t>Non Giustificata</t>
    </r>
    <r>
      <rPr>
        <sz val="12"/>
        <rFont val="Avenir LT Std 55 Roman"/>
        <family val="2"/>
      </rPr>
      <t>: Identifica che alla voce di spesa non è legato il giustificativo cartaceo. Deve essere tassativamente indicato nella causale il motivo della mancanza del giustificativo e l’immissione nella nota spese deve essere approvata dal responsabile.</t>
    </r>
  </si>
  <si>
    <r>
      <t>-</t>
    </r>
    <r>
      <rPr>
        <sz val="7"/>
        <rFont val="Avenir LT Std 55 Roman"/>
        <family val="2"/>
      </rPr>
      <t xml:space="preserve">          </t>
    </r>
    <r>
      <rPr>
        <i/>
        <sz val="12"/>
        <rFont val="Avenir LT Std 55 Roman"/>
        <family val="2"/>
      </rPr>
      <t>Rappresentanza</t>
    </r>
    <r>
      <rPr>
        <sz val="12"/>
        <rFont val="Avenir LT Std 55 Roman"/>
        <family val="2"/>
      </rPr>
      <t>: Identifica spese (pranzi, cene, etc.) fatte con clienti ed altro personale NON BS. Nella causale devono essere indicate generalità dell’ospite e motivazione della spesa.</t>
    </r>
  </si>
  <si>
    <r>
      <t>-</t>
    </r>
    <r>
      <rPr>
        <sz val="7"/>
        <rFont val="Avenir LT Std 55 Roman"/>
        <family val="2"/>
      </rPr>
      <t xml:space="preserve">          </t>
    </r>
    <r>
      <rPr>
        <i/>
        <sz val="12"/>
        <rFont val="Avenir LT Std 55 Roman"/>
        <family val="2"/>
      </rPr>
      <t>Fiera</t>
    </r>
    <r>
      <rPr>
        <sz val="12"/>
        <rFont val="Avenir LT Std 55 Roman"/>
        <family val="2"/>
      </rPr>
      <t xml:space="preserve">: Identifica che la spesa è relativa ad un Fiera ed è per tanto da contabilizzare sul centro di costo dedicato. </t>
    </r>
  </si>
  <si>
    <r>
      <t>RESTITUZIONE</t>
    </r>
    <r>
      <rPr>
        <sz val="12"/>
        <rFont val="Avenir LT Std 55 Roman"/>
        <family val="2"/>
      </rPr>
      <t>: L’elenco delle spese intervento va presentato dal Dipendente  al back office AST secondo le seguenti modalità:</t>
    </r>
  </si>
  <si>
    <r>
      <t>-</t>
    </r>
    <r>
      <rPr>
        <sz val="7"/>
        <rFont val="Avenir LT Std 55 Roman"/>
        <family val="2"/>
      </rPr>
      <t xml:space="preserve">          </t>
    </r>
    <r>
      <rPr>
        <sz val="12"/>
        <rFont val="Avenir LT Std 55 Roman"/>
        <family val="2"/>
      </rPr>
      <t>Firmato dal Dipendente  che l’ha redatta, in ogni sua pagina, nell’apposto campo “Firma”</t>
    </r>
  </si>
  <si>
    <r>
      <t>-</t>
    </r>
    <r>
      <rPr>
        <sz val="7"/>
        <rFont val="Avenir LT Std 55 Roman"/>
        <family val="2"/>
      </rPr>
      <t xml:space="preserve">          </t>
    </r>
    <r>
      <rPr>
        <sz val="12"/>
        <rFont val="Avenir LT Std 55 Roman"/>
        <family val="2"/>
      </rPr>
      <t xml:space="preserve">Presentando in allegato l’elenco di tutti i giustificativi ordinati per N° di ricevuta. </t>
    </r>
  </si>
  <si>
    <r>
      <t>3.2</t>
    </r>
    <r>
      <rPr>
        <b/>
        <i/>
        <sz val="7"/>
        <rFont val="Avenir LT Std 55 Roman"/>
        <family val="2"/>
      </rPr>
      <t xml:space="preserve">            </t>
    </r>
    <r>
      <rPr>
        <b/>
        <i/>
        <sz val="14"/>
        <rFont val="Avenir LT Std 55 Roman"/>
        <family val="2"/>
      </rPr>
      <t>MODULO “RIMBORSO KM”</t>
    </r>
  </si>
  <si>
    <r>
      <t>SCOPO</t>
    </r>
    <r>
      <rPr>
        <sz val="12"/>
        <rFont val="Avenir LT Std 55 Roman"/>
        <family val="2"/>
      </rPr>
      <t>: Il modulo ha lo scopo di dettagliare tutti i tragitti compiuti con auto propria del quale si richiede il rimborso.</t>
    </r>
  </si>
  <si>
    <r>
      <t>-</t>
    </r>
    <r>
      <rPr>
        <sz val="7"/>
        <rFont val="Avenir LT Std 55 Roman"/>
        <family val="2"/>
      </rPr>
      <t xml:space="preserve">          </t>
    </r>
    <r>
      <rPr>
        <i/>
        <sz val="12"/>
        <rFont val="Avenir LT Std 55 Roman"/>
        <family val="2"/>
      </rPr>
      <t>Causale:</t>
    </r>
    <r>
      <rPr>
        <sz val="12"/>
        <rFont val="Avenir LT Std 55 Roman"/>
        <family val="2"/>
      </rPr>
      <t xml:space="preserve"> Indicare tragitto ed eventuali note</t>
    </r>
  </si>
  <si>
    <r>
      <t>-</t>
    </r>
    <r>
      <rPr>
        <sz val="7"/>
        <rFont val="Avenir LT Std 55 Roman"/>
        <family val="2"/>
      </rPr>
      <t xml:space="preserve">          </t>
    </r>
    <r>
      <rPr>
        <i/>
        <sz val="12"/>
        <rFont val="Avenir LT Std 55 Roman"/>
        <family val="2"/>
      </rPr>
      <t>Km:</t>
    </r>
    <r>
      <rPr>
        <sz val="12"/>
        <rFont val="Avenir LT Std 55 Roman"/>
        <family val="2"/>
      </rPr>
      <t xml:space="preserve"> Numero di chilometri per cui chiedere il rimborso</t>
    </r>
  </si>
  <si>
    <r>
      <t>RESTITUZIONE</t>
    </r>
    <r>
      <rPr>
        <sz val="12"/>
        <rFont val="Avenir LT Std 55 Roman"/>
        <family val="2"/>
      </rPr>
      <t>: Il modulo di rimborso km va presentato all’Uff. Amministrazione secondo le seguenti modalità:</t>
    </r>
  </si>
  <si>
    <r>
      <t>-</t>
    </r>
    <r>
      <rPr>
        <sz val="7"/>
        <rFont val="Avenir LT Std 55 Roman"/>
        <family val="2"/>
      </rPr>
      <t xml:space="preserve">          </t>
    </r>
    <r>
      <rPr>
        <sz val="12"/>
        <rFont val="Avenir LT Std 55 Roman"/>
        <family val="2"/>
      </rPr>
      <t>Compilato in ogni sua parte.</t>
    </r>
  </si>
  <si>
    <r>
      <t>-</t>
    </r>
    <r>
      <rPr>
        <sz val="7"/>
        <rFont val="Avenir LT Std 55 Roman"/>
        <family val="2"/>
      </rPr>
      <t xml:space="preserve">          </t>
    </r>
    <r>
      <rPr>
        <sz val="12"/>
        <rFont val="Avenir LT Std 55 Roman"/>
        <family val="2"/>
      </rPr>
      <t>Firmato dal Dipendente</t>
    </r>
  </si>
  <si>
    <r>
      <t>3.3</t>
    </r>
    <r>
      <rPr>
        <b/>
        <i/>
        <sz val="7"/>
        <rFont val="Avenir LT Std 55 Roman"/>
        <family val="2"/>
      </rPr>
      <t xml:space="preserve">            </t>
    </r>
    <r>
      <rPr>
        <b/>
        <i/>
        <sz val="14"/>
        <rFont val="Avenir LT Std 55 Roman"/>
        <family val="2"/>
      </rPr>
      <t>MODULO “RIEPILOGO SPESE TRASFERTA ”</t>
    </r>
  </si>
  <si>
    <r>
      <t>SCOPO</t>
    </r>
    <r>
      <rPr>
        <sz val="12"/>
        <rFont val="Avenir LT Std 55 Roman"/>
        <family val="2"/>
      </rPr>
      <t xml:space="preserve">: Il modulo ha lo scopo di fornire delle voci aggregate che riassumano le spese effettuate nella singola trasferta. </t>
    </r>
  </si>
  <si>
    <r>
      <t>COMPILAZIONE</t>
    </r>
    <r>
      <rPr>
        <sz val="12"/>
        <rFont val="Avenir LT Std 55 Roman"/>
        <family val="2"/>
      </rPr>
      <t>: Il modulo si compone delle seguenti parti da compilare:</t>
    </r>
  </si>
  <si>
    <r>
      <t>-</t>
    </r>
    <r>
      <rPr>
        <sz val="7"/>
        <rFont val="Avenir LT Std 55 Roman"/>
        <family val="2"/>
      </rPr>
      <t xml:space="preserve">          </t>
    </r>
    <r>
      <rPr>
        <i/>
        <sz val="12"/>
        <rFont val="Avenir LT Std 55 Roman"/>
        <family val="2"/>
      </rPr>
      <t>Dati Intervento</t>
    </r>
    <r>
      <rPr>
        <sz val="12"/>
        <rFont val="Avenir LT Std 55 Roman"/>
        <family val="2"/>
      </rPr>
      <t xml:space="preserve">: Contiene tutti i riferimenti all’intervento, tra cui il periodo d’esecuzione, i riferimenti ai processi in GALILEO e il Dipendente  esecutore  </t>
    </r>
  </si>
  <si>
    <r>
      <t>-</t>
    </r>
    <r>
      <rPr>
        <sz val="7"/>
        <rFont val="Avenir LT Std 55 Roman"/>
        <family val="2"/>
      </rPr>
      <t xml:space="preserve">          </t>
    </r>
    <r>
      <rPr>
        <i/>
        <sz val="12"/>
        <rFont val="Avenir LT Std 55 Roman"/>
        <family val="2"/>
      </rPr>
      <t>Gestione contanti</t>
    </r>
    <r>
      <rPr>
        <sz val="12"/>
        <rFont val="Avenir LT Std 55 Roman"/>
        <family val="2"/>
      </rPr>
      <t>: Riassunto sintetico di tutte le operazioni svolte in contanti dal Dipendente . Nel caso in cui venga dato un anticipo in contanti indicare nelle apposite caselle i valori di “</t>
    </r>
    <r>
      <rPr>
        <i/>
        <sz val="12"/>
        <rFont val="Avenir LT Std 55 Roman"/>
        <family val="2"/>
      </rPr>
      <t>euro dati</t>
    </r>
    <r>
      <rPr>
        <sz val="12"/>
        <rFont val="Avenir LT Std 55 Roman"/>
        <family val="2"/>
      </rPr>
      <t>” ed “</t>
    </r>
    <r>
      <rPr>
        <i/>
        <sz val="12"/>
        <rFont val="Avenir LT Std 55 Roman"/>
        <family val="2"/>
      </rPr>
      <t>euro resi</t>
    </r>
    <r>
      <rPr>
        <sz val="12"/>
        <rFont val="Avenir LT Std 55 Roman"/>
        <family val="2"/>
      </rPr>
      <t xml:space="preserve">” </t>
    </r>
  </si>
  <si>
    <r>
      <t>-</t>
    </r>
    <r>
      <rPr>
        <sz val="7"/>
        <rFont val="Avenir LT Std 55 Roman"/>
        <family val="2"/>
      </rPr>
      <t xml:space="preserve">          </t>
    </r>
    <r>
      <rPr>
        <i/>
        <sz val="12"/>
        <rFont val="Avenir LT Std 55 Roman"/>
        <family val="2"/>
      </rPr>
      <t>Valuta Estera</t>
    </r>
    <r>
      <rPr>
        <sz val="12"/>
        <rFont val="Avenir LT Std 55 Roman"/>
        <family val="2"/>
      </rPr>
      <t xml:space="preserve">: Riassunto sintetico di tutte le operazioni svolte in valuta estera dal Dipendente . </t>
    </r>
  </si>
  <si>
    <r>
      <t>-</t>
    </r>
    <r>
      <rPr>
        <sz val="7"/>
        <rFont val="Avenir LT Std 55 Roman"/>
        <family val="2"/>
      </rPr>
      <t xml:space="preserve">          </t>
    </r>
    <r>
      <rPr>
        <i/>
        <sz val="12"/>
        <rFont val="Avenir LT Std 55 Roman"/>
        <family val="2"/>
      </rPr>
      <t>Spese fatturate pagate da conto BS</t>
    </r>
    <r>
      <rPr>
        <sz val="12"/>
        <rFont val="Avenir LT Std 55 Roman"/>
        <family val="2"/>
      </rPr>
      <t>: Elenco di tutte le spese relative all’intervento pagate con fattura. (es: Taxi EMMEPI, Confort Viaggi)</t>
    </r>
  </si>
  <si>
    <r>
      <t>-</t>
    </r>
    <r>
      <rPr>
        <sz val="7"/>
        <rFont val="Avenir LT Std 55 Roman"/>
        <family val="2"/>
      </rPr>
      <t xml:space="preserve">          </t>
    </r>
    <r>
      <rPr>
        <i/>
        <sz val="12"/>
        <rFont val="Avenir LT Std 55 Roman"/>
        <family val="2"/>
      </rPr>
      <t>Rimborso chilometrico per uso auto propria</t>
    </r>
    <r>
      <rPr>
        <sz val="12"/>
        <rFont val="Avenir LT Std 55 Roman"/>
        <family val="2"/>
      </rPr>
      <t>: Totale da rimborsare per tragitti fatti con auto propria indicati nel modulo “RIMBORSO KM”</t>
    </r>
  </si>
  <si>
    <r>
      <t>-</t>
    </r>
    <r>
      <rPr>
        <sz val="7"/>
        <rFont val="Avenir LT Std 55 Roman"/>
        <family val="2"/>
      </rPr>
      <t xml:space="preserve">          </t>
    </r>
    <r>
      <rPr>
        <i/>
        <sz val="12"/>
        <rFont val="Avenir LT Std 55 Roman"/>
        <family val="2"/>
      </rPr>
      <t>Totali per singole causali</t>
    </r>
    <r>
      <rPr>
        <sz val="12"/>
        <rFont val="Avenir LT Std 55 Roman"/>
        <family val="2"/>
      </rPr>
      <t>: Campi calcolati in automatico che forniscono la suddivisione delle spese per causale, ad uso statistico</t>
    </r>
  </si>
  <si>
    <r>
      <t>-</t>
    </r>
    <r>
      <rPr>
        <sz val="7"/>
        <rFont val="Avenir LT Std 55 Roman"/>
        <family val="2"/>
      </rPr>
      <t xml:space="preserve">          </t>
    </r>
    <r>
      <rPr>
        <i/>
        <sz val="12"/>
        <rFont val="Avenir LT Std 55 Roman"/>
        <family val="2"/>
      </rPr>
      <t>Riassunto Dati Contabili</t>
    </r>
    <r>
      <rPr>
        <sz val="12"/>
        <rFont val="Avenir LT Std 55 Roman"/>
        <family val="2"/>
      </rPr>
      <t>: Campi calcolati in automatico che forniscono la suddivisione delle spese per tipo e modalità di pagamento.</t>
    </r>
  </si>
  <si>
    <r>
      <t>-</t>
    </r>
    <r>
      <rPr>
        <sz val="7"/>
        <rFont val="Avenir LT Std 55 Roman"/>
        <family val="2"/>
      </rPr>
      <t xml:space="preserve">          </t>
    </r>
    <r>
      <rPr>
        <i/>
        <sz val="12"/>
        <rFont val="Avenir LT Std 55 Roman"/>
        <family val="2"/>
      </rPr>
      <t>Totali Contabili:</t>
    </r>
    <r>
      <rPr>
        <sz val="12"/>
        <rFont val="Avenir LT Std 55 Roman"/>
        <family val="2"/>
      </rPr>
      <t xml:space="preserve"> Esprime la spesa totale da inserire a Galileo e il Totale da reintegrare al fondo casse del Dipendente  esecutore.  </t>
    </r>
  </si>
  <si>
    <t>NB: Tutti i campi editabili del modulo sono segnalati con una colorazione in BLU. I restanti sono calcolati automaticamente.</t>
  </si>
  <si>
    <r>
      <t>RESTITUZIONE</t>
    </r>
    <r>
      <rPr>
        <sz val="12"/>
        <rFont val="Avenir LT Std 55 Roman"/>
        <family val="2"/>
      </rPr>
      <t>: L’elenco delle spese intervento va presentato all’Uff. Personale  secondo le seguenti modalità:</t>
    </r>
  </si>
  <si>
    <r>
      <t>-</t>
    </r>
    <r>
      <rPr>
        <sz val="7"/>
        <rFont val="Avenir LT Std 55 Roman"/>
        <family val="2"/>
      </rPr>
      <t xml:space="preserve">          </t>
    </r>
    <r>
      <rPr>
        <sz val="12"/>
        <rFont val="Avenir LT Std 55 Roman"/>
        <family val="2"/>
      </rPr>
      <t>Firmato dal Dipendente  esecutore e dal responsabile per approvazione.</t>
    </r>
  </si>
  <si>
    <r>
      <t>-</t>
    </r>
    <r>
      <rPr>
        <sz val="7"/>
        <rFont val="Avenir LT Std 55 Roman"/>
        <family val="2"/>
      </rPr>
      <t xml:space="preserve">          </t>
    </r>
    <r>
      <rPr>
        <sz val="12"/>
        <rFont val="Avenir LT Std 55 Roman"/>
        <family val="2"/>
      </rPr>
      <t>Corredato dal modulo ”elenco spese intervento Dipendente ”  e l’elenco dei giustificativi</t>
    </r>
  </si>
  <si>
    <r>
      <t>4</t>
    </r>
    <r>
      <rPr>
        <b/>
        <sz val="7"/>
        <rFont val="Avenir LT Std 55 Roman"/>
        <family val="2"/>
      </rPr>
      <t xml:space="preserve">                   </t>
    </r>
    <r>
      <rPr>
        <b/>
        <sz val="14"/>
        <rFont val="Avenir LT Std 55 Roman"/>
        <family val="2"/>
      </rPr>
      <t>USCITA DI SERVIZIO</t>
    </r>
  </si>
  <si>
    <t>In caso di uscita di servizio, che comporti brevi tragitti con auto personale e piccole spese per conto dell’azienda è necessario utilizzare i singoli moduli della nota spese secondo le seguenti modalità:</t>
  </si>
  <si>
    <r>
      <t>a)</t>
    </r>
    <r>
      <rPr>
        <sz val="7"/>
        <rFont val="Avenir LT Std 55 Roman"/>
        <family val="2"/>
      </rPr>
      <t xml:space="preserve">      </t>
    </r>
    <r>
      <rPr>
        <sz val="12"/>
        <rFont val="Avenir LT Std 55 Roman"/>
        <family val="2"/>
      </rPr>
      <t>Per spese effettuate per conto dell’azienda va compilato il modulo “RIMBORSO SPESE” e reso firmato e completo di giustificativi secondo le modalità descritte al paragrafo 3.1</t>
    </r>
  </si>
  <si>
    <r>
      <t>b)</t>
    </r>
    <r>
      <rPr>
        <sz val="7"/>
        <rFont val="Avenir LT Std 55 Roman"/>
        <family val="2"/>
      </rPr>
      <t xml:space="preserve">      </t>
    </r>
    <r>
      <rPr>
        <sz val="12"/>
        <rFont val="Avenir LT Std 55 Roman"/>
        <family val="2"/>
      </rPr>
      <t>In caso di utilizzo auto propria è necessario compilare il modulo “RIMBORSO KM” e renderlo firmato secondo le modalità descritte al paragrafo 3.2</t>
    </r>
  </si>
  <si>
    <r>
      <t>c)</t>
    </r>
    <r>
      <rPr>
        <sz val="7"/>
        <rFont val="Avenir LT Std 55 Roman"/>
        <family val="2"/>
      </rPr>
      <t xml:space="preserve">      </t>
    </r>
    <r>
      <rPr>
        <sz val="12"/>
        <rFont val="Avenir LT Std 55 Roman"/>
        <family val="2"/>
      </rPr>
      <t>In caso di uscita di servizio che preveda piccole spese per conto dell’azienda e utilizzo auto propria è necessario presentare entrambi i moduli secondo le modalità descritte.</t>
    </r>
  </si>
  <si>
    <t xml:space="preserve">NOTA: Anche in caso di uscita di servizio la nota spese in formato digitale va inviata via mail all’Uff. personale per archiviazione. </t>
  </si>
  <si>
    <r>
      <t xml:space="preserve">Il  primo foglio " </t>
    </r>
    <r>
      <rPr>
        <sz val="12"/>
        <color indexed="10"/>
        <rFont val="Avenir LT Std 55 Roman"/>
        <family val="2"/>
      </rPr>
      <t>RIEPILOGO RIMBORSO SPESE"</t>
    </r>
    <r>
      <rPr>
        <sz val="12"/>
        <rFont val="Avenir LT Std 55 Roman"/>
        <family val="2"/>
      </rPr>
      <t xml:space="preserve"> va compilato nella parte "dati trasferta" solo in caso di trasferte e  spese diverse raggruppabili mensilmente  ( scontrini e  rimborso km )</t>
    </r>
  </si>
  <si>
    <r>
      <t xml:space="preserve">Nel secondo foglio " </t>
    </r>
    <r>
      <rPr>
        <sz val="12"/>
        <color indexed="12"/>
        <rFont val="Avenir LT Std 55 Roman"/>
        <family val="2"/>
      </rPr>
      <t>RIMBORSO SPESE</t>
    </r>
    <r>
      <rPr>
        <sz val="12"/>
        <rFont val="Avenir LT Std 55 Roman"/>
        <family val="2"/>
      </rPr>
      <t xml:space="preserve">" vanno elencati  uno per uno gli  scontrini e/o fatture  riportando il  numero sequenziale a penna sul documento </t>
    </r>
  </si>
  <si>
    <r>
      <t>Nel terzo foglio "</t>
    </r>
    <r>
      <rPr>
        <sz val="12"/>
        <color indexed="14"/>
        <rFont val="Avenir LT Std 55 Roman"/>
        <family val="2"/>
      </rPr>
      <t xml:space="preserve"> RIMBORSO KM</t>
    </r>
    <r>
      <rPr>
        <sz val="12"/>
        <rFont val="Avenir LT Std 55 Roman"/>
        <family val="2"/>
      </rPr>
      <t>" vanno elencati tutti i tragitti effettuati con la propria auto indicandone il viaggio da/per e i km.</t>
    </r>
  </si>
  <si>
    <t>Doc Nota Spese   rev.06</t>
  </si>
  <si>
    <t>Doc. Rimborso spese  rev.06</t>
  </si>
  <si>
    <t>AST-Installazione</t>
  </si>
  <si>
    <t>AST-In Garanzia</t>
  </si>
  <si>
    <t>AST-Fuori Garanzia</t>
  </si>
  <si>
    <t>AST-A Contratto</t>
  </si>
  <si>
    <t>AST-Promozionale</t>
  </si>
  <si>
    <t>Targa Auto EBS :</t>
  </si>
  <si>
    <t>Rif EBS:</t>
  </si>
  <si>
    <r>
      <t>b)</t>
    </r>
    <r>
      <rPr>
        <sz val="7"/>
        <rFont val="Avenir LT Std 55 Roman"/>
        <family val="2"/>
      </rPr>
      <t xml:space="preserve">      </t>
    </r>
    <r>
      <rPr>
        <sz val="12"/>
        <rFont val="Avenir LT Std 55 Roman"/>
        <family val="2"/>
      </rPr>
      <t>ANTICIPO CONTANTE DA CASSA EBS:</t>
    </r>
  </si>
  <si>
    <r>
      <t>a)</t>
    </r>
    <r>
      <rPr>
        <sz val="7"/>
        <rFont val="Avenir LT Std 55 Roman"/>
        <family val="2"/>
      </rPr>
      <t xml:space="preserve">      </t>
    </r>
    <r>
      <rPr>
        <sz val="12"/>
        <rFont val="Avenir LT Std 55 Roman"/>
        <family val="2"/>
      </rPr>
      <t xml:space="preserve">Nel caso alla trasferta partecipino contemporaneamente più Dipendenti i nomi dei partecipanti devono essere elencati nell’apposita area del modulo “RIEPILOGO SPESE TRASFERTA”. Il Dipendente  indicato nel campo “Dipendente  Esecutore” sarà il responsabile della nota spese e l’intestatario del rimborso.   </t>
    </r>
  </si>
  <si>
    <r>
      <t>b)</t>
    </r>
    <r>
      <rPr>
        <sz val="7"/>
        <rFont val="Avenir LT Std 55 Roman"/>
        <family val="2"/>
      </rPr>
      <t xml:space="preserve">      </t>
    </r>
    <r>
      <rPr>
        <sz val="12"/>
        <rFont val="Avenir LT Std 55 Roman"/>
        <family val="2"/>
      </rPr>
      <t>Nel caso alla trasferta partecipino contemporaneamente più tecnici , si ha la facoltà di organizzarsi in modo che tutte le spese vengano effettuate dal conto di uno solo dei Dipendenti, compilando così una sola nota spese. In caso contrario andranno presentate una nota spesa per ogni Dipendente che ha effettuato spese.</t>
    </r>
  </si>
  <si>
    <t>DKV</t>
  </si>
  <si>
    <t>CC-Personale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</si>
</sst>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0000"/>
    <numFmt numFmtId="166" formatCode="[$-410]d\-mmm\-yyyy;@"/>
  </numFmts>
  <fonts count="39" x14ac:knownFonts="1">
    <font>
      <sz val="10"/>
      <name val="Arial"/>
    </font>
    <font>
      <b/>
      <sz val="12"/>
      <name val="Tahoma"/>
      <family val="2"/>
    </font>
    <font>
      <sz val="8"/>
      <name val="Arial"/>
      <family val="2"/>
    </font>
    <font>
      <b/>
      <sz val="10"/>
      <name val="Arial"/>
      <family val="2"/>
    </font>
    <font>
      <b/>
      <sz val="10"/>
      <name val="Tahoma"/>
      <family val="2"/>
    </font>
    <font>
      <b/>
      <sz val="9"/>
      <color indexed="81"/>
      <name val="Tahoma"/>
      <family val="2"/>
    </font>
    <font>
      <sz val="10"/>
      <name val="Avenir LT Std 55 Roman"/>
      <family val="2"/>
    </font>
    <font>
      <b/>
      <sz val="10"/>
      <color indexed="55"/>
      <name val="Avenir LT Std 45 Book"/>
      <family val="2"/>
    </font>
    <font>
      <b/>
      <sz val="10"/>
      <color indexed="55"/>
      <name val="Avenir LT Std 55 Roman"/>
      <family val="2"/>
    </font>
    <font>
      <b/>
      <sz val="10"/>
      <color indexed="23"/>
      <name val="Avenir LT Std 55 Roman"/>
      <family val="2"/>
    </font>
    <font>
      <b/>
      <sz val="10"/>
      <color indexed="55"/>
      <name val="AvenirNext LT Pro Bold"/>
      <family val="2"/>
    </font>
    <font>
      <b/>
      <i/>
      <sz val="4"/>
      <name val="Avenir LT Std 55 Roman"/>
      <family val="2"/>
    </font>
    <font>
      <sz val="16"/>
      <name val="AvenirNext LT Pro Bold"/>
      <family val="2"/>
    </font>
    <font>
      <b/>
      <sz val="12"/>
      <name val="Avenir LT Std 55 Roman"/>
      <family val="2"/>
    </font>
    <font>
      <b/>
      <sz val="10"/>
      <name val="Avenir LT Std 55 Roman"/>
      <family val="2"/>
    </font>
    <font>
      <sz val="12"/>
      <name val="Avenir LT Std 55 Roman"/>
      <family val="2"/>
    </font>
    <font>
      <b/>
      <sz val="10"/>
      <color indexed="18"/>
      <name val="Avenir LT Std 55 Roman"/>
      <family val="2"/>
    </font>
    <font>
      <sz val="10"/>
      <color indexed="18"/>
      <name val="Avenir LT Std 55 Roman"/>
      <family val="2"/>
    </font>
    <font>
      <sz val="12"/>
      <color indexed="18"/>
      <name val="Avenir LT Std 55 Roman"/>
      <family val="2"/>
    </font>
    <font>
      <b/>
      <i/>
      <sz val="10"/>
      <color indexed="18"/>
      <name val="Avenir LT Std 55 Roman"/>
      <family val="2"/>
    </font>
    <font>
      <b/>
      <sz val="12"/>
      <color indexed="18"/>
      <name val="Avenir LT Std 55 Roman"/>
      <family val="2"/>
    </font>
    <font>
      <sz val="16"/>
      <name val="Avenir LT Std 55 Roman"/>
      <family val="2"/>
    </font>
    <font>
      <b/>
      <sz val="10"/>
      <color indexed="22"/>
      <name val="Avenir LT Std 55 Roman"/>
      <family val="2"/>
    </font>
    <font>
      <sz val="16"/>
      <name val="Arial"/>
      <family val="2"/>
    </font>
    <font>
      <sz val="12"/>
      <color indexed="9"/>
      <name val="Tahoma"/>
      <family val="2"/>
    </font>
    <font>
      <b/>
      <sz val="14"/>
      <name val="Avenir LT Std 55 Roman"/>
      <family val="2"/>
    </font>
    <font>
      <b/>
      <sz val="7"/>
      <name val="Avenir LT Std 55 Roman"/>
      <family val="2"/>
    </font>
    <font>
      <b/>
      <i/>
      <sz val="14"/>
      <name val="Avenir LT Std 55 Roman"/>
      <family val="2"/>
    </font>
    <font>
      <b/>
      <i/>
      <sz val="7"/>
      <name val="Avenir LT Std 55 Roman"/>
      <family val="2"/>
    </font>
    <font>
      <sz val="7"/>
      <name val="Avenir LT Std 55 Roman"/>
      <family val="2"/>
    </font>
    <font>
      <u/>
      <sz val="12"/>
      <name val="Avenir LT Std 55 Roman"/>
      <family val="2"/>
    </font>
    <font>
      <i/>
      <sz val="12"/>
      <name val="Avenir LT Std 55 Roman"/>
      <family val="2"/>
    </font>
    <font>
      <sz val="10"/>
      <name val="Arial"/>
      <family val="2"/>
    </font>
    <font>
      <b/>
      <sz val="12"/>
      <color indexed="57"/>
      <name val="Avenir LT Std 55 Roman"/>
      <family val="2"/>
    </font>
    <font>
      <sz val="12"/>
      <color indexed="10"/>
      <name val="Avenir LT Std 55 Roman"/>
      <family val="2"/>
    </font>
    <font>
      <sz val="12"/>
      <color indexed="12"/>
      <name val="Avenir LT Std 55 Roman"/>
      <family val="2"/>
    </font>
    <font>
      <sz val="12"/>
      <color indexed="14"/>
      <name val="Avenir LT Std 55 Roman"/>
      <family val="2"/>
    </font>
    <font>
      <sz val="12"/>
      <name val="Arial"/>
      <family val="2"/>
    </font>
    <font>
      <sz val="12"/>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55">
    <xf numFmtId="0" fontId="0" fillId="0" borderId="0" xfId="0"/>
    <xf numFmtId="0" fontId="0" fillId="2" borderId="0" xfId="0" applyFill="1"/>
    <xf numFmtId="0" fontId="0" fillId="0" borderId="0" xfId="0" applyAlignment="1">
      <alignment horizontal="center"/>
    </xf>
    <xf numFmtId="0" fontId="3" fillId="0" borderId="0" xfId="0" applyFont="1" applyAlignment="1">
      <alignment horizontal="center" vertical="center"/>
    </xf>
    <xf numFmtId="4" fontId="0" fillId="0" borderId="0" xfId="0" applyNumberFormat="1"/>
    <xf numFmtId="14" fontId="0" fillId="0" borderId="1" xfId="0" applyNumberFormat="1" applyBorder="1" applyAlignment="1">
      <alignment horizontal="center"/>
    </xf>
    <xf numFmtId="1" fontId="0" fillId="0" borderId="1" xfId="0" applyNumberFormat="1" applyBorder="1" applyAlignment="1">
      <alignment horizontal="center"/>
    </xf>
    <xf numFmtId="4" fontId="3" fillId="3" borderId="1" xfId="0" applyNumberFormat="1" applyFont="1" applyFill="1" applyBorder="1" applyAlignment="1">
      <alignment horizontal="center" vertical="center"/>
    </xf>
    <xf numFmtId="0" fontId="0" fillId="2" borderId="0" xfId="0" applyFill="1" applyAlignment="1">
      <alignment horizontal="left"/>
    </xf>
    <xf numFmtId="0" fontId="0" fillId="2" borderId="0" xfId="0" applyFill="1" applyAlignment="1">
      <alignment horizontal="center"/>
    </xf>
    <xf numFmtId="4" fontId="0" fillId="2" borderId="0" xfId="0" applyNumberFormat="1" applyFill="1"/>
    <xf numFmtId="0" fontId="3" fillId="0" borderId="0" xfId="0" applyFont="1"/>
    <xf numFmtId="0" fontId="3" fillId="3" borderId="1" xfId="0" applyFont="1" applyFill="1" applyBorder="1" applyAlignment="1">
      <alignment horizontal="center" vertical="center" wrapText="1"/>
    </xf>
    <xf numFmtId="0" fontId="6" fillId="2" borderId="0" xfId="0" applyFont="1" applyFill="1"/>
    <xf numFmtId="0" fontId="7" fillId="2" borderId="0" xfId="0" applyFont="1" applyFill="1" applyAlignment="1">
      <alignment horizontal="right"/>
    </xf>
    <xf numFmtId="0" fontId="8" fillId="2" borderId="0" xfId="0" applyFont="1" applyFill="1" applyAlignment="1">
      <alignment horizontal="right"/>
    </xf>
    <xf numFmtId="0" fontId="9" fillId="2" borderId="0" xfId="0" applyFont="1" applyFill="1" applyAlignment="1">
      <alignment wrapText="1"/>
    </xf>
    <xf numFmtId="0" fontId="10" fillId="2" borderId="0" xfId="0" applyFont="1" applyFill="1" applyAlignment="1">
      <alignment horizontal="right"/>
    </xf>
    <xf numFmtId="0" fontId="11" fillId="2" borderId="0" xfId="0" applyFont="1" applyFill="1" applyAlignment="1">
      <alignment horizontal="justify"/>
    </xf>
    <xf numFmtId="0" fontId="6" fillId="0" borderId="0" xfId="0" applyFont="1"/>
    <xf numFmtId="0" fontId="13" fillId="0" borderId="0" xfId="0" applyFont="1"/>
    <xf numFmtId="0" fontId="15" fillId="0" borderId="0" xfId="0" applyFont="1"/>
    <xf numFmtId="0" fontId="17" fillId="0" borderId="2" xfId="0" applyFont="1" applyBorder="1" applyAlignment="1">
      <alignment horizontal="right" vertical="center"/>
    </xf>
    <xf numFmtId="164" fontId="18" fillId="0" borderId="3" xfId="0" applyNumberFormat="1" applyFont="1" applyBorder="1" applyAlignment="1">
      <alignment vertical="center"/>
    </xf>
    <xf numFmtId="0" fontId="6" fillId="0" borderId="2" xfId="0" applyFont="1" applyBorder="1" applyAlignment="1">
      <alignment horizontal="right" vertical="center"/>
    </xf>
    <xf numFmtId="164" fontId="15" fillId="0" borderId="3" xfId="0" applyNumberFormat="1" applyFont="1" applyBorder="1" applyAlignment="1">
      <alignment vertical="center"/>
    </xf>
    <xf numFmtId="14" fontId="16" fillId="0" borderId="3" xfId="0" applyNumberFormat="1" applyFont="1" applyBorder="1" applyAlignment="1">
      <alignment horizontal="left" vertical="center"/>
    </xf>
    <xf numFmtId="0" fontId="16" fillId="0" borderId="3" xfId="0" applyFont="1" applyBorder="1" applyAlignment="1">
      <alignment horizontal="left" vertical="center"/>
    </xf>
    <xf numFmtId="0" fontId="14" fillId="0" borderId="4" xfId="0" applyFont="1" applyBorder="1" applyAlignment="1">
      <alignment horizontal="right" vertical="center"/>
    </xf>
    <xf numFmtId="164" fontId="13" fillId="0" borderId="5" xfId="0" applyNumberFormat="1" applyFont="1" applyBorder="1" applyAlignment="1">
      <alignment vertical="center"/>
    </xf>
    <xf numFmtId="0" fontId="17" fillId="0" borderId="2" xfId="0" applyFont="1" applyBorder="1" applyAlignment="1">
      <alignment horizontal="center" vertical="center"/>
    </xf>
    <xf numFmtId="0" fontId="17" fillId="0" borderId="3" xfId="0" quotePrefix="1" applyFont="1" applyBorder="1" applyAlignment="1">
      <alignment horizontal="center" vertical="center"/>
    </xf>
    <xf numFmtId="0" fontId="6" fillId="2" borderId="0" xfId="0" applyFont="1" applyFill="1" applyAlignment="1">
      <alignment horizontal="left"/>
    </xf>
    <xf numFmtId="164" fontId="17" fillId="0" borderId="2" xfId="0" applyNumberFormat="1" applyFont="1" applyBorder="1" applyAlignment="1">
      <alignment horizontal="right" vertical="center"/>
    </xf>
    <xf numFmtId="4" fontId="18" fillId="0" borderId="3" xfId="0" applyNumberFormat="1" applyFont="1" applyBorder="1" applyAlignment="1">
      <alignment vertical="center"/>
    </xf>
    <xf numFmtId="164" fontId="15" fillId="0" borderId="3" xfId="0" applyNumberFormat="1" applyFont="1" applyBorder="1" applyAlignment="1">
      <alignment horizontal="right" vertical="center"/>
    </xf>
    <xf numFmtId="4" fontId="15" fillId="0" borderId="6" xfId="0" applyNumberFormat="1" applyFont="1" applyBorder="1" applyAlignment="1">
      <alignment horizontal="center" vertical="center"/>
    </xf>
    <xf numFmtId="0" fontId="14" fillId="0" borderId="6" xfId="0" applyFont="1" applyBorder="1" applyAlignment="1">
      <alignment horizontal="right" vertical="center"/>
    </xf>
    <xf numFmtId="164" fontId="13" fillId="0" borderId="7" xfId="0" applyNumberFormat="1" applyFont="1" applyBorder="1" applyAlignment="1">
      <alignment horizontal="center" vertical="center"/>
    </xf>
    <xf numFmtId="0" fontId="17" fillId="0" borderId="3" xfId="0" applyFont="1" applyBorder="1" applyAlignment="1">
      <alignment horizontal="left" vertical="center"/>
    </xf>
    <xf numFmtId="164" fontId="6" fillId="0" borderId="2" xfId="0" applyNumberFormat="1" applyFont="1" applyBorder="1" applyAlignment="1">
      <alignment horizontal="right" vertical="center"/>
    </xf>
    <xf numFmtId="4" fontId="15" fillId="0" borderId="3" xfId="0" applyNumberFormat="1" applyFont="1" applyBorder="1" applyAlignment="1">
      <alignment horizontal="right" vertical="center"/>
    </xf>
    <xf numFmtId="4" fontId="15" fillId="0" borderId="3" xfId="0" applyNumberFormat="1" applyFont="1" applyBorder="1" applyAlignment="1">
      <alignment vertical="center"/>
    </xf>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6" fillId="0" borderId="8" xfId="0" applyFont="1" applyBorder="1" applyAlignment="1">
      <alignment horizontal="left" vertical="center"/>
    </xf>
    <xf numFmtId="164" fontId="15" fillId="0" borderId="1" xfId="0" applyNumberFormat="1" applyFont="1" applyBorder="1" applyAlignment="1">
      <alignment vertical="center"/>
    </xf>
    <xf numFmtId="164" fontId="15" fillId="0" borderId="6" xfId="0" applyNumberFormat="1" applyFont="1" applyBorder="1" applyAlignment="1">
      <alignment vertical="center"/>
    </xf>
    <xf numFmtId="164" fontId="15" fillId="0" borderId="7" xfId="0" applyNumberFormat="1" applyFont="1" applyBorder="1" applyAlignment="1">
      <alignment vertical="center"/>
    </xf>
    <xf numFmtId="164" fontId="15" fillId="0" borderId="9" xfId="0" applyNumberFormat="1" applyFont="1" applyBorder="1" applyAlignment="1">
      <alignment vertical="center"/>
    </xf>
    <xf numFmtId="164" fontId="15" fillId="0" borderId="10" xfId="0" applyNumberFormat="1" applyFont="1" applyBorder="1" applyAlignment="1">
      <alignment vertical="center"/>
    </xf>
    <xf numFmtId="0" fontId="20" fillId="0" borderId="3" xfId="0" applyFont="1" applyBorder="1" applyAlignment="1">
      <alignment horizontal="left" vertical="center"/>
    </xf>
    <xf numFmtId="4" fontId="13" fillId="0" borderId="3" xfId="0" applyNumberFormat="1" applyFont="1" applyBorder="1" applyAlignment="1">
      <alignment vertical="center"/>
    </xf>
    <xf numFmtId="0" fontId="6" fillId="0" borderId="3" xfId="0" applyFont="1" applyBorder="1"/>
    <xf numFmtId="0" fontId="20" fillId="0" borderId="5" xfId="0" applyFont="1" applyBorder="1" applyAlignment="1">
      <alignment horizontal="left" vertical="center"/>
    </xf>
    <xf numFmtId="0" fontId="17" fillId="0" borderId="4" xfId="0" applyFont="1" applyBorder="1" applyAlignment="1">
      <alignment horizontal="right" vertical="center"/>
    </xf>
    <xf numFmtId="165" fontId="18" fillId="0" borderId="5" xfId="0" applyNumberFormat="1" applyFont="1" applyBorder="1" applyAlignment="1">
      <alignment vertical="center"/>
    </xf>
    <xf numFmtId="164" fontId="15" fillId="0" borderId="11" xfId="0" applyNumberFormat="1" applyFont="1" applyBorder="1" applyAlignment="1">
      <alignment vertical="center"/>
    </xf>
    <xf numFmtId="0" fontId="6" fillId="0" borderId="5" xfId="0" applyFont="1" applyBorder="1"/>
    <xf numFmtId="0" fontId="6" fillId="2" borderId="0" xfId="0" applyFont="1" applyFill="1" applyAlignment="1">
      <alignment vertical="center"/>
    </xf>
    <xf numFmtId="0" fontId="6" fillId="2" borderId="0" xfId="0" applyFont="1" applyFill="1" applyAlignment="1">
      <alignment horizontal="right" vertical="center"/>
    </xf>
    <xf numFmtId="165" fontId="6" fillId="2" borderId="0" xfId="0" applyNumberFormat="1" applyFont="1" applyFill="1" applyAlignment="1">
      <alignment vertical="center"/>
    </xf>
    <xf numFmtId="0" fontId="14" fillId="3" borderId="12" xfId="0" applyFont="1" applyFill="1" applyBorder="1" applyAlignment="1">
      <alignment vertical="center"/>
    </xf>
    <xf numFmtId="0" fontId="14" fillId="3" borderId="13" xfId="0" applyFont="1" applyFill="1" applyBorder="1" applyAlignment="1">
      <alignment vertical="center"/>
    </xf>
    <xf numFmtId="0" fontId="14" fillId="3" borderId="14" xfId="0" applyFont="1" applyFill="1" applyBorder="1" applyAlignment="1">
      <alignment vertical="center"/>
    </xf>
    <xf numFmtId="0" fontId="14" fillId="2" borderId="0" xfId="0" applyFont="1" applyFill="1" applyAlignment="1">
      <alignment vertical="center"/>
    </xf>
    <xf numFmtId="0" fontId="19" fillId="2" borderId="0" xfId="0" applyFont="1" applyFill="1" applyAlignment="1">
      <alignment vertical="center"/>
    </xf>
    <xf numFmtId="164" fontId="13" fillId="0" borderId="3" xfId="0" applyNumberFormat="1" applyFont="1" applyBorder="1" applyAlignment="1">
      <alignment horizontal="right" vertical="center"/>
    </xf>
    <xf numFmtId="4" fontId="15" fillId="0" borderId="1" xfId="0" applyNumberFormat="1" applyFont="1" applyBorder="1" applyAlignment="1">
      <alignment vertical="center"/>
    </xf>
    <xf numFmtId="164" fontId="15" fillId="2" borderId="0" xfId="0" applyNumberFormat="1" applyFont="1" applyFill="1" applyAlignment="1">
      <alignment vertical="center"/>
    </xf>
    <xf numFmtId="4" fontId="15" fillId="0" borderId="11" xfId="0" applyNumberFormat="1" applyFont="1" applyBorder="1" applyAlignment="1">
      <alignment vertical="center"/>
    </xf>
    <xf numFmtId="164" fontId="15" fillId="0" borderId="5" xfId="0" applyNumberFormat="1" applyFont="1" applyBorder="1" applyAlignment="1">
      <alignment vertical="center"/>
    </xf>
    <xf numFmtId="164" fontId="13" fillId="0" borderId="5" xfId="0" applyNumberFormat="1" applyFont="1" applyBorder="1" applyAlignment="1">
      <alignment horizontal="right" vertical="center"/>
    </xf>
    <xf numFmtId="0" fontId="6" fillId="2" borderId="0" xfId="0" applyFont="1" applyFill="1" applyAlignment="1">
      <alignment horizontal="center"/>
    </xf>
    <xf numFmtId="166" fontId="16" fillId="0" borderId="15" xfId="0" applyNumberFormat="1" applyFont="1" applyBorder="1" applyAlignment="1">
      <alignment horizontal="left" vertical="center"/>
    </xf>
    <xf numFmtId="0" fontId="12" fillId="2" borderId="0" xfId="0" applyFont="1" applyFill="1" applyAlignment="1">
      <alignment horizontal="center"/>
    </xf>
    <xf numFmtId="0" fontId="13" fillId="2" borderId="0" xfId="0" applyFont="1" applyFill="1" applyAlignment="1">
      <alignment horizontal="center" vertical="center" wrapText="1"/>
    </xf>
    <xf numFmtId="0" fontId="1" fillId="2" borderId="0" xfId="0" applyFont="1" applyFill="1" applyAlignment="1">
      <alignment horizontal="center" vertical="center" wrapText="1"/>
    </xf>
    <xf numFmtId="0" fontId="21" fillId="2" borderId="0" xfId="0" applyFont="1" applyFill="1" applyAlignment="1">
      <alignment horizontal="center"/>
    </xf>
    <xf numFmtId="0" fontId="14" fillId="2" borderId="6" xfId="0" applyFont="1" applyFill="1" applyBorder="1" applyAlignment="1">
      <alignment horizontal="right" vertical="center"/>
    </xf>
    <xf numFmtId="0" fontId="14" fillId="0" borderId="1" xfId="0" applyFont="1" applyBorder="1" applyAlignment="1">
      <alignment horizontal="center"/>
    </xf>
    <xf numFmtId="0" fontId="14" fillId="0" borderId="0" xfId="0" applyFont="1" applyAlignment="1">
      <alignment horizontal="center"/>
    </xf>
    <xf numFmtId="0" fontId="14" fillId="0" borderId="1" xfId="0" applyFont="1" applyBorder="1" applyAlignment="1">
      <alignment horizontal="center" vertical="center"/>
    </xf>
    <xf numFmtId="0" fontId="6" fillId="0" borderId="16" xfId="0" applyFont="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6" fillId="0" borderId="1" xfId="0" applyFont="1" applyBorder="1"/>
    <xf numFmtId="0" fontId="14" fillId="3" borderId="1" xfId="0" applyFont="1" applyFill="1" applyBorder="1" applyAlignment="1">
      <alignment horizontal="center" vertical="center"/>
    </xf>
    <xf numFmtId="4" fontId="14" fillId="3" borderId="1" xfId="0" applyNumberFormat="1" applyFont="1" applyFill="1" applyBorder="1" applyAlignment="1">
      <alignment horizontal="center" vertical="center"/>
    </xf>
    <xf numFmtId="0" fontId="14" fillId="0" borderId="0" xfId="0" applyFont="1" applyAlignment="1">
      <alignment horizontal="center" vertical="center"/>
    </xf>
    <xf numFmtId="0" fontId="14" fillId="4" borderId="1" xfId="0" applyFont="1" applyFill="1" applyBorder="1" applyAlignment="1">
      <alignment horizontal="right" vertical="center"/>
    </xf>
    <xf numFmtId="0" fontId="14" fillId="4" borderId="1" xfId="0" applyFont="1" applyFill="1" applyBorder="1" applyAlignment="1">
      <alignment horizontal="center" vertical="center"/>
    </xf>
    <xf numFmtId="0" fontId="14" fillId="4" borderId="0" xfId="0" applyFont="1" applyFill="1" applyAlignment="1">
      <alignment horizontal="right" vertical="center"/>
    </xf>
    <xf numFmtId="0" fontId="14" fillId="4" borderId="0" xfId="0" applyFont="1" applyFill="1" applyAlignment="1">
      <alignment horizontal="center" vertical="center"/>
    </xf>
    <xf numFmtId="0" fontId="6" fillId="4" borderId="0" xfId="0" applyFont="1" applyFill="1" applyAlignment="1">
      <alignment horizontal="center" vertical="center" wrapText="1"/>
    </xf>
    <xf numFmtId="1" fontId="6" fillId="0" borderId="18" xfId="0" applyNumberFormat="1" applyFont="1" applyBorder="1" applyAlignment="1">
      <alignment horizontal="center"/>
    </xf>
    <xf numFmtId="14" fontId="6" fillId="0" borderId="18" xfId="0" applyNumberFormat="1" applyFont="1" applyBorder="1" applyAlignment="1">
      <alignment horizontal="center"/>
    </xf>
    <xf numFmtId="0" fontId="6" fillId="0" borderId="18" xfId="0" applyFont="1" applyBorder="1" applyAlignment="1">
      <alignment horizontal="center"/>
    </xf>
    <xf numFmtId="0" fontId="6" fillId="0" borderId="18" xfId="0" applyFont="1" applyBorder="1" applyAlignment="1">
      <alignment horizontal="left"/>
    </xf>
    <xf numFmtId="164" fontId="6" fillId="0" borderId="18" xfId="0" applyNumberFormat="1" applyFont="1" applyBorder="1" applyAlignment="1">
      <alignment horizontal="center"/>
    </xf>
    <xf numFmtId="2" fontId="6" fillId="0" borderId="18" xfId="0" applyNumberFormat="1" applyFont="1" applyBorder="1" applyAlignment="1">
      <alignment horizontal="center"/>
    </xf>
    <xf numFmtId="164" fontId="6" fillId="0" borderId="18" xfId="0" applyNumberFormat="1" applyFont="1" applyBorder="1" applyAlignment="1">
      <alignment horizontal="right"/>
    </xf>
    <xf numFmtId="0" fontId="6" fillId="0" borderId="0" xfId="0" applyFont="1" applyAlignment="1">
      <alignment horizontal="center" vertical="center"/>
    </xf>
    <xf numFmtId="0" fontId="6" fillId="0" borderId="0" xfId="0" applyFont="1" applyAlignment="1">
      <alignment horizontal="center" vertical="center" wrapText="1"/>
    </xf>
    <xf numFmtId="1" fontId="6" fillId="0" borderId="1" xfId="0" applyNumberFormat="1" applyFont="1" applyBorder="1" applyAlignment="1">
      <alignment horizontal="center"/>
    </xf>
    <xf numFmtId="0" fontId="6" fillId="0" borderId="1" xfId="0" applyFont="1" applyBorder="1" applyAlignment="1">
      <alignment horizontal="left"/>
    </xf>
    <xf numFmtId="164" fontId="6" fillId="0" borderId="1" xfId="0" applyNumberFormat="1" applyFont="1" applyBorder="1" applyAlignment="1">
      <alignment horizontal="center"/>
    </xf>
    <xf numFmtId="14" fontId="6" fillId="0" borderId="1" xfId="0" applyNumberFormat="1" applyFont="1" applyBorder="1" applyAlignment="1">
      <alignment horizontal="center"/>
    </xf>
    <xf numFmtId="164" fontId="6" fillId="2" borderId="0" xfId="0" applyNumberFormat="1" applyFont="1" applyFill="1"/>
    <xf numFmtId="4" fontId="6" fillId="2" borderId="0" xfId="0" applyNumberFormat="1" applyFont="1" applyFill="1"/>
    <xf numFmtId="164" fontId="14" fillId="3" borderId="1" xfId="0" applyNumberFormat="1" applyFont="1" applyFill="1" applyBorder="1" applyAlignment="1">
      <alignment horizontal="center" vertical="center"/>
    </xf>
    <xf numFmtId="0" fontId="14" fillId="2" borderId="18" xfId="0" applyFont="1" applyFill="1" applyBorder="1" applyAlignment="1">
      <alignment horizontal="right"/>
    </xf>
    <xf numFmtId="2" fontId="6" fillId="0" borderId="1" xfId="0" applyNumberFormat="1" applyFont="1" applyBorder="1" applyAlignment="1">
      <alignment horizontal="center"/>
    </xf>
    <xf numFmtId="164" fontId="6" fillId="0" borderId="1" xfId="0" applyNumberFormat="1" applyFont="1" applyBorder="1" applyAlignment="1">
      <alignment horizontal="right"/>
    </xf>
    <xf numFmtId="1" fontId="6" fillId="2" borderId="1" xfId="0" applyNumberFormat="1" applyFont="1" applyFill="1" applyBorder="1" applyAlignment="1">
      <alignment horizontal="center"/>
    </xf>
    <xf numFmtId="14" fontId="6" fillId="2" borderId="1" xfId="0" applyNumberFormat="1" applyFont="1" applyFill="1" applyBorder="1" applyAlignment="1">
      <alignment horizontal="center"/>
    </xf>
    <xf numFmtId="0" fontId="6" fillId="2" borderId="1" xfId="0" applyFont="1" applyFill="1" applyBorder="1" applyAlignment="1">
      <alignment horizontal="center"/>
    </xf>
    <xf numFmtId="0" fontId="6" fillId="2" borderId="1" xfId="0" applyFont="1" applyFill="1" applyBorder="1" applyAlignment="1">
      <alignment horizontal="left"/>
    </xf>
    <xf numFmtId="164" fontId="6" fillId="2" borderId="1" xfId="0" applyNumberFormat="1" applyFont="1" applyFill="1" applyBorder="1" applyAlignment="1">
      <alignment horizontal="center"/>
    </xf>
    <xf numFmtId="2" fontId="6" fillId="2" borderId="1" xfId="0" applyNumberFormat="1" applyFont="1" applyFill="1" applyBorder="1" applyAlignment="1">
      <alignment horizontal="center"/>
    </xf>
    <xf numFmtId="164" fontId="6" fillId="2" borderId="1" xfId="0" applyNumberFormat="1" applyFont="1" applyFill="1" applyBorder="1" applyAlignment="1">
      <alignment horizontal="right"/>
    </xf>
    <xf numFmtId="1" fontId="6" fillId="2" borderId="0" xfId="0" applyNumberFormat="1" applyFont="1" applyFill="1" applyAlignment="1">
      <alignment horizontal="center"/>
    </xf>
    <xf numFmtId="14" fontId="6" fillId="2" borderId="0" xfId="0" applyNumberFormat="1" applyFont="1" applyFill="1" applyAlignment="1">
      <alignment horizontal="center"/>
    </xf>
    <xf numFmtId="164" fontId="6" fillId="2" borderId="0" xfId="0" applyNumberFormat="1" applyFont="1" applyFill="1" applyAlignment="1">
      <alignment horizontal="center"/>
    </xf>
    <xf numFmtId="2" fontId="6" fillId="2" borderId="0" xfId="0" applyNumberFormat="1" applyFont="1" applyFill="1" applyAlignment="1">
      <alignment horizontal="center"/>
    </xf>
    <xf numFmtId="164" fontId="6" fillId="2" borderId="0" xfId="0" applyNumberFormat="1" applyFont="1" applyFill="1" applyAlignment="1">
      <alignment horizontal="right"/>
    </xf>
    <xf numFmtId="0" fontId="0" fillId="2" borderId="19" xfId="0" applyFill="1" applyBorder="1"/>
    <xf numFmtId="0" fontId="1" fillId="2" borderId="19" xfId="0" applyFont="1" applyFill="1" applyBorder="1" applyAlignment="1">
      <alignment horizontal="center" vertical="center" wrapText="1"/>
    </xf>
    <xf numFmtId="0" fontId="3" fillId="2" borderId="19" xfId="0" applyFont="1" applyFill="1" applyBorder="1" applyAlignment="1">
      <alignment horizontal="left" vertical="center"/>
    </xf>
    <xf numFmtId="0" fontId="23" fillId="2" borderId="0" xfId="0" applyFont="1" applyFill="1" applyAlignment="1">
      <alignment horizontal="center"/>
    </xf>
    <xf numFmtId="0" fontId="14" fillId="0" borderId="1" xfId="0" applyFont="1" applyBorder="1" applyAlignment="1">
      <alignment horizontal="right" vertical="center" wrapText="1"/>
    </xf>
    <xf numFmtId="0" fontId="14" fillId="2" borderId="0" xfId="0" applyFont="1" applyFill="1" applyAlignment="1">
      <alignment horizontal="center" vertical="center" wrapText="1"/>
    </xf>
    <xf numFmtId="0" fontId="3" fillId="3" borderId="1" xfId="0" applyFont="1" applyFill="1" applyBorder="1" applyAlignment="1">
      <alignment vertical="center"/>
    </xf>
    <xf numFmtId="4" fontId="0" fillId="0" borderId="1" xfId="0" applyNumberFormat="1" applyBorder="1" applyAlignment="1">
      <alignment horizontal="center"/>
    </xf>
    <xf numFmtId="0" fontId="3" fillId="3" borderId="1" xfId="0" applyFont="1" applyFill="1" applyBorder="1" applyAlignment="1">
      <alignment horizontal="right" vertical="center"/>
    </xf>
    <xf numFmtId="164" fontId="3" fillId="3" borderId="1" xfId="0" applyNumberFormat="1" applyFont="1" applyFill="1" applyBorder="1" applyAlignment="1">
      <alignment horizontal="center" vertical="center"/>
    </xf>
    <xf numFmtId="0" fontId="25" fillId="0" borderId="0" xfId="0" applyFont="1" applyAlignment="1">
      <alignment horizontal="left" indent="2"/>
    </xf>
    <xf numFmtId="0" fontId="15" fillId="0" borderId="0" xfId="0" applyFont="1" applyAlignment="1">
      <alignment horizontal="left" indent="3"/>
    </xf>
    <xf numFmtId="0" fontId="27" fillId="0" borderId="0" xfId="0" applyFont="1" applyAlignment="1">
      <alignment horizontal="left" indent="3"/>
    </xf>
    <xf numFmtId="0" fontId="15" fillId="0" borderId="0" xfId="0" applyFont="1" applyAlignment="1">
      <alignment horizontal="left" indent="6"/>
    </xf>
    <xf numFmtId="0" fontId="15" fillId="0" borderId="0" xfId="0" applyFont="1" applyAlignment="1">
      <alignment horizontal="left" indent="2"/>
    </xf>
    <xf numFmtId="0" fontId="15" fillId="0" borderId="0" xfId="0" applyFont="1" applyAlignment="1">
      <alignment horizontal="left" indent="10"/>
    </xf>
    <xf numFmtId="0" fontId="15" fillId="0" borderId="0" xfId="0" applyFont="1" applyAlignment="1">
      <alignment horizontal="left" indent="4"/>
    </xf>
    <xf numFmtId="0" fontId="15" fillId="0" borderId="0" xfId="0" applyFont="1" applyAlignment="1">
      <alignment horizontal="left" indent="5"/>
    </xf>
    <xf numFmtId="0" fontId="13" fillId="0" borderId="0" xfId="0" applyFont="1" applyAlignment="1">
      <alignment horizontal="left" indent="2"/>
    </xf>
    <xf numFmtId="0" fontId="30" fillId="0" borderId="0" xfId="0" applyFont="1" applyAlignment="1">
      <alignment horizontal="left" indent="2"/>
    </xf>
    <xf numFmtId="0" fontId="15" fillId="0" borderId="0" xfId="0" applyFont="1" applyAlignment="1">
      <alignment horizontal="left" indent="8"/>
    </xf>
    <xf numFmtId="0" fontId="15" fillId="0" borderId="0" xfId="0" applyFont="1" applyAlignment="1">
      <alignment horizontal="left" indent="12"/>
    </xf>
    <xf numFmtId="0" fontId="32" fillId="0" borderId="0" xfId="0" applyFont="1"/>
    <xf numFmtId="0" fontId="37" fillId="0" borderId="0" xfId="0" applyFont="1"/>
    <xf numFmtId="0" fontId="38" fillId="0" borderId="0" xfId="0" applyFont="1"/>
    <xf numFmtId="1" fontId="6"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164" fontId="6" fillId="0" borderId="1" xfId="0" applyNumberFormat="1" applyFont="1" applyBorder="1" applyAlignment="1">
      <alignment horizontal="center" vertical="center" wrapText="1"/>
    </xf>
    <xf numFmtId="0" fontId="6" fillId="0" borderId="0" xfId="0" applyFont="1" applyAlignment="1">
      <alignment vertical="center"/>
    </xf>
    <xf numFmtId="164" fontId="6" fillId="0" borderId="1" xfId="0" applyNumberFormat="1" applyFont="1" applyBorder="1" applyAlignment="1">
      <alignment horizontal="left" vertical="center" wrapText="1"/>
    </xf>
    <xf numFmtId="14" fontId="6" fillId="0" borderId="1" xfId="0" applyNumberFormat="1" applyFont="1" applyBorder="1" applyAlignment="1">
      <alignment horizontal="left"/>
    </xf>
    <xf numFmtId="0" fontId="24" fillId="2" borderId="20" xfId="0" applyFont="1" applyFill="1" applyBorder="1" applyAlignment="1">
      <alignment horizontal="center" vertical="center" wrapText="1"/>
    </xf>
    <xf numFmtId="0" fontId="24" fillId="2" borderId="21" xfId="0" applyFont="1" applyFill="1" applyBorder="1" applyAlignment="1">
      <alignment horizontal="center" vertical="center" wrapText="1"/>
    </xf>
    <xf numFmtId="0" fontId="13" fillId="0" borderId="1" xfId="0" applyFont="1" applyBorder="1" applyAlignment="1">
      <alignment horizontal="right" vertical="center" wrapText="1"/>
    </xf>
    <xf numFmtId="0" fontId="13" fillId="0" borderId="1" xfId="0" applyFont="1" applyBorder="1" applyAlignment="1">
      <alignment horizontal="left" vertical="center" wrapText="1"/>
    </xf>
    <xf numFmtId="0" fontId="12" fillId="3" borderId="16" xfId="0" applyFont="1" applyFill="1" applyBorder="1" applyAlignment="1">
      <alignment horizontal="center"/>
    </xf>
    <xf numFmtId="0" fontId="12" fillId="3" borderId="17" xfId="0" applyFont="1" applyFill="1" applyBorder="1" applyAlignment="1">
      <alignment horizontal="center"/>
    </xf>
    <xf numFmtId="0" fontId="12" fillId="3" borderId="22" xfId="0" applyFont="1" applyFill="1" applyBorder="1" applyAlignment="1">
      <alignment horizontal="center"/>
    </xf>
    <xf numFmtId="0" fontId="17" fillId="0" borderId="7" xfId="0" applyFont="1" applyBorder="1" applyAlignment="1">
      <alignment horizontal="left" vertical="center" wrapText="1"/>
    </xf>
    <xf numFmtId="0" fontId="17" fillId="0" borderId="15" xfId="0" applyFont="1" applyBorder="1" applyAlignment="1">
      <alignment horizontal="left" vertical="center" wrapText="1"/>
    </xf>
    <xf numFmtId="0" fontId="14" fillId="0" borderId="23" xfId="0" applyFont="1" applyBorder="1" applyAlignment="1">
      <alignment horizontal="left" vertical="center"/>
    </xf>
    <xf numFmtId="0" fontId="14" fillId="0" borderId="22" xfId="0" applyFont="1" applyBorder="1" applyAlignment="1">
      <alignment horizontal="left" vertical="center"/>
    </xf>
    <xf numFmtId="0" fontId="14" fillId="3" borderId="24" xfId="0" applyFont="1" applyFill="1" applyBorder="1" applyAlignment="1">
      <alignment horizontal="center" vertical="center"/>
    </xf>
    <xf numFmtId="0" fontId="14" fillId="3" borderId="25" xfId="0" applyFont="1" applyFill="1" applyBorder="1" applyAlignment="1">
      <alignment horizontal="center" vertical="center"/>
    </xf>
    <xf numFmtId="0" fontId="14" fillId="3" borderId="26" xfId="0" applyFont="1" applyFill="1" applyBorder="1" applyAlignment="1">
      <alignment horizontal="center" vertical="center"/>
    </xf>
    <xf numFmtId="0" fontId="6" fillId="0" borderId="27" xfId="0" applyFont="1" applyBorder="1" applyAlignment="1">
      <alignment horizontal="right" vertical="center"/>
    </xf>
    <xf numFmtId="0" fontId="6" fillId="0" borderId="6" xfId="0" applyFont="1" applyBorder="1" applyAlignment="1">
      <alignment horizontal="right" vertical="center"/>
    </xf>
    <xf numFmtId="164" fontId="15" fillId="0" borderId="16" xfId="0" applyNumberFormat="1" applyFont="1" applyBorder="1" applyAlignment="1">
      <alignment horizontal="center" vertical="center"/>
    </xf>
    <xf numFmtId="164" fontId="15" fillId="0" borderId="28" xfId="0" applyNumberFormat="1" applyFont="1" applyBorder="1" applyAlignment="1">
      <alignment horizontal="center" vertical="center"/>
    </xf>
    <xf numFmtId="0" fontId="14" fillId="0" borderId="23" xfId="0" applyFont="1" applyBorder="1" applyAlignment="1">
      <alignment horizontal="center" vertical="center"/>
    </xf>
    <xf numFmtId="0" fontId="14" fillId="0" borderId="2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9" fillId="0" borderId="23" xfId="0" applyFont="1" applyBorder="1" applyAlignment="1">
      <alignment horizontal="center" vertical="center"/>
    </xf>
    <xf numFmtId="0" fontId="19" fillId="0" borderId="22" xfId="0" applyFont="1" applyBorder="1" applyAlignment="1">
      <alignment horizontal="center" vertical="center"/>
    </xf>
    <xf numFmtId="164" fontId="6" fillId="0" borderId="23" xfId="0" applyNumberFormat="1" applyFont="1" applyBorder="1" applyAlignment="1">
      <alignment horizontal="center" vertical="distributed"/>
    </xf>
    <xf numFmtId="164" fontId="6" fillId="0" borderId="17" xfId="0" applyNumberFormat="1" applyFont="1" applyBorder="1" applyAlignment="1">
      <alignment horizontal="center" vertical="distributed"/>
    </xf>
    <xf numFmtId="164" fontId="6" fillId="0" borderId="22" xfId="0" applyNumberFormat="1" applyFont="1" applyBorder="1" applyAlignment="1">
      <alignment horizontal="center" vertical="distributed"/>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right" vertical="center"/>
    </xf>
    <xf numFmtId="0" fontId="6" fillId="0" borderId="11" xfId="0" applyFont="1" applyBorder="1" applyAlignment="1">
      <alignment horizontal="right" vertical="center"/>
    </xf>
    <xf numFmtId="0" fontId="16" fillId="0" borderId="31" xfId="0" applyFont="1" applyBorder="1" applyAlignment="1">
      <alignment horizontal="right" vertical="center"/>
    </xf>
    <xf numFmtId="0" fontId="16" fillId="0" borderId="18" xfId="0" applyFont="1" applyBorder="1" applyAlignment="1">
      <alignment horizontal="right" vertical="center"/>
    </xf>
    <xf numFmtId="0" fontId="14" fillId="0" borderId="29" xfId="0" applyFont="1" applyBorder="1" applyAlignment="1">
      <alignment horizontal="left" vertical="center"/>
    </xf>
    <xf numFmtId="0" fontId="14" fillId="0" borderId="30" xfId="0" applyFont="1" applyBorder="1" applyAlignment="1">
      <alignment horizontal="left" vertical="center"/>
    </xf>
    <xf numFmtId="0" fontId="6" fillId="0" borderId="23" xfId="0" applyFont="1" applyBorder="1" applyAlignment="1">
      <alignment horizontal="left" vertical="center"/>
    </xf>
    <xf numFmtId="0" fontId="6" fillId="0" borderId="22" xfId="0" applyFont="1" applyBorder="1" applyAlignment="1">
      <alignment horizontal="left" vertical="center"/>
    </xf>
    <xf numFmtId="0" fontId="6" fillId="2" borderId="0" xfId="0" applyFont="1" applyFill="1" applyAlignment="1">
      <alignment horizontal="center"/>
    </xf>
    <xf numFmtId="0" fontId="6" fillId="0" borderId="2" xfId="0" applyFont="1" applyBorder="1" applyAlignment="1">
      <alignment horizontal="right" vertical="center"/>
    </xf>
    <xf numFmtId="0" fontId="6" fillId="0" borderId="1" xfId="0" applyFont="1" applyBorder="1" applyAlignment="1">
      <alignment horizontal="right" vertical="center"/>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4" xfId="0" applyFont="1" applyBorder="1" applyAlignment="1">
      <alignment horizontal="center" vertical="center"/>
    </xf>
    <xf numFmtId="0" fontId="14" fillId="0" borderId="11" xfId="0" applyFont="1" applyBorder="1" applyAlignment="1">
      <alignment horizontal="center" vertical="center"/>
    </xf>
    <xf numFmtId="0" fontId="6" fillId="0" borderId="25" xfId="0" applyFont="1" applyBorder="1" applyAlignment="1">
      <alignment horizontal="center"/>
    </xf>
    <xf numFmtId="0" fontId="6" fillId="0" borderId="26" xfId="0" applyFont="1" applyBorder="1" applyAlignment="1">
      <alignment horizontal="center"/>
    </xf>
    <xf numFmtId="0" fontId="6" fillId="0" borderId="11" xfId="0" applyFont="1" applyBorder="1" applyAlignment="1">
      <alignment horizontal="center"/>
    </xf>
    <xf numFmtId="0" fontId="6" fillId="0" borderId="5" xfId="0" applyFont="1" applyBorder="1" applyAlignment="1">
      <alignment horizontal="center"/>
    </xf>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37" xfId="0" applyFont="1" applyBorder="1" applyAlignment="1">
      <alignment horizontal="center" vertical="center"/>
    </xf>
    <xf numFmtId="0" fontId="14" fillId="0" borderId="38" xfId="0" applyFont="1" applyBorder="1" applyAlignment="1">
      <alignment horizontal="center" vertical="center"/>
    </xf>
    <xf numFmtId="0" fontId="6" fillId="0" borderId="23" xfId="0" applyFont="1" applyBorder="1" applyAlignment="1">
      <alignment horizontal="center" vertical="distributed"/>
    </xf>
    <xf numFmtId="0" fontId="6" fillId="0" borderId="17" xfId="0" applyFont="1" applyBorder="1" applyAlignment="1">
      <alignment horizontal="center" vertical="distributed"/>
    </xf>
    <xf numFmtId="0" fontId="6" fillId="0" borderId="22" xfId="0" applyFont="1" applyBorder="1" applyAlignment="1">
      <alignment horizontal="center" vertical="distributed"/>
    </xf>
    <xf numFmtId="0" fontId="17" fillId="0" borderId="32" xfId="0" applyFont="1" applyBorder="1" applyAlignment="1">
      <alignment horizontal="right" vertical="center"/>
    </xf>
    <xf numFmtId="0" fontId="17" fillId="0" borderId="33" xfId="0" applyFont="1" applyBorder="1" applyAlignment="1">
      <alignment horizontal="right" vertical="center"/>
    </xf>
    <xf numFmtId="0" fontId="17" fillId="0" borderId="34" xfId="0" applyFont="1" applyBorder="1" applyAlignment="1">
      <alignment horizontal="right" vertical="center"/>
    </xf>
    <xf numFmtId="0" fontId="17" fillId="0" borderId="35" xfId="0" applyFont="1" applyBorder="1" applyAlignment="1">
      <alignment horizontal="right" vertical="center"/>
    </xf>
    <xf numFmtId="0" fontId="16" fillId="0" borderId="2" xfId="0" applyFont="1" applyBorder="1" applyAlignment="1">
      <alignment horizontal="right" vertical="center"/>
    </xf>
    <xf numFmtId="0" fontId="16" fillId="0" borderId="1" xfId="0" applyFont="1" applyBorder="1" applyAlignment="1">
      <alignment horizontal="right" vertical="center"/>
    </xf>
    <xf numFmtId="0" fontId="6" fillId="2" borderId="36" xfId="0" applyFont="1" applyFill="1" applyBorder="1" applyAlignment="1">
      <alignment horizontal="center" vertical="center"/>
    </xf>
    <xf numFmtId="0" fontId="19" fillId="0" borderId="2" xfId="0" applyFont="1" applyBorder="1" applyAlignment="1">
      <alignment horizontal="center" vertical="center"/>
    </xf>
    <xf numFmtId="0" fontId="19" fillId="0" borderId="1" xfId="0" applyFont="1" applyBorder="1" applyAlignment="1">
      <alignment horizontal="center" vertical="center"/>
    </xf>
    <xf numFmtId="0" fontId="17" fillId="0" borderId="2" xfId="0" applyFont="1" applyBorder="1" applyAlignment="1">
      <alignment horizontal="right" vertical="center"/>
    </xf>
    <xf numFmtId="0" fontId="17" fillId="0" borderId="1" xfId="0" applyFont="1" applyBorder="1" applyAlignment="1">
      <alignment horizontal="right" vertical="center"/>
    </xf>
    <xf numFmtId="0" fontId="16" fillId="0" borderId="4" xfId="0" applyFont="1" applyBorder="1" applyAlignment="1">
      <alignment horizontal="right" vertical="center"/>
    </xf>
    <xf numFmtId="0" fontId="16" fillId="0" borderId="11" xfId="0" applyFont="1" applyBorder="1" applyAlignment="1">
      <alignment horizontal="right" vertical="center"/>
    </xf>
    <xf numFmtId="0" fontId="6" fillId="0" borderId="23" xfId="0" applyFont="1" applyBorder="1" applyAlignment="1">
      <alignment horizontal="center"/>
    </xf>
    <xf numFmtId="0" fontId="6" fillId="0" borderId="22" xfId="0" applyFont="1" applyBorder="1" applyAlignment="1">
      <alignment horizontal="center"/>
    </xf>
    <xf numFmtId="0" fontId="14" fillId="3" borderId="12" xfId="0" applyFont="1" applyFill="1" applyBorder="1" applyAlignment="1">
      <alignment horizontal="center" vertical="center"/>
    </xf>
    <xf numFmtId="0" fontId="14" fillId="3" borderId="13" xfId="0" applyFont="1" applyFill="1" applyBorder="1" applyAlignment="1">
      <alignment horizontal="center" vertical="center"/>
    </xf>
    <xf numFmtId="0" fontId="14" fillId="3" borderId="14" xfId="0" applyFont="1" applyFill="1" applyBorder="1" applyAlignment="1">
      <alignment horizontal="center" vertical="center"/>
    </xf>
    <xf numFmtId="0" fontId="19" fillId="0" borderId="16" xfId="0" applyFont="1" applyBorder="1" applyAlignment="1">
      <alignment horizontal="center" vertical="center"/>
    </xf>
    <xf numFmtId="0" fontId="19" fillId="0" borderId="28" xfId="0" applyFont="1" applyBorder="1" applyAlignment="1">
      <alignment horizontal="center" vertical="center"/>
    </xf>
    <xf numFmtId="0" fontId="19" fillId="0" borderId="17" xfId="0" applyFont="1" applyBorder="1" applyAlignment="1">
      <alignment horizontal="center" vertical="center"/>
    </xf>
    <xf numFmtId="0" fontId="14" fillId="3" borderId="1" xfId="0" applyFont="1" applyFill="1" applyBorder="1" applyAlignment="1">
      <alignment horizontal="center" vertical="center" wrapText="1"/>
    </xf>
    <xf numFmtId="0" fontId="14" fillId="0" borderId="39" xfId="0" applyFont="1" applyBorder="1" applyAlignment="1">
      <alignment horizontal="left" vertical="center" wrapText="1"/>
    </xf>
    <xf numFmtId="0" fontId="14" fillId="0" borderId="19" xfId="0" applyFont="1" applyBorder="1" applyAlignment="1">
      <alignment horizontal="left" vertical="center" wrapText="1"/>
    </xf>
    <xf numFmtId="0" fontId="14" fillId="0" borderId="35" xfId="0" applyFont="1" applyBorder="1" applyAlignment="1">
      <alignment horizontal="left" vertical="center" wrapText="1"/>
    </xf>
    <xf numFmtId="0" fontId="14" fillId="2" borderId="1" xfId="0" applyFont="1" applyFill="1" applyBorder="1" applyAlignment="1">
      <alignment horizontal="left" vertical="center"/>
    </xf>
    <xf numFmtId="0" fontId="14" fillId="2" borderId="6" xfId="0" applyFont="1" applyFill="1" applyBorder="1" applyAlignment="1">
      <alignment horizontal="center" vertical="center"/>
    </xf>
    <xf numFmtId="0" fontId="22" fillId="3" borderId="1" xfId="0" applyFont="1" applyFill="1" applyBorder="1" applyAlignment="1">
      <alignment horizontal="center" vertical="center" wrapText="1"/>
    </xf>
    <xf numFmtId="0" fontId="14" fillId="3" borderId="1" xfId="0" applyFont="1" applyFill="1" applyBorder="1" applyAlignment="1">
      <alignment horizontal="center" vertical="center"/>
    </xf>
    <xf numFmtId="4" fontId="14" fillId="3" borderId="1" xfId="0" applyNumberFormat="1" applyFont="1" applyFill="1" applyBorder="1" applyAlignment="1">
      <alignment horizontal="center" vertical="center"/>
    </xf>
    <xf numFmtId="0" fontId="14" fillId="0" borderId="16" xfId="0" applyFont="1" applyBorder="1" applyAlignment="1">
      <alignment horizontal="left" vertical="center" wrapText="1"/>
    </xf>
    <xf numFmtId="0" fontId="14" fillId="0" borderId="22" xfId="0" applyFont="1" applyBorder="1" applyAlignment="1">
      <alignment horizontal="left" vertical="center" wrapText="1"/>
    </xf>
    <xf numFmtId="0" fontId="4" fillId="0" borderId="16" xfId="0" applyFont="1" applyBorder="1" applyAlignment="1">
      <alignment horizontal="left" vertical="center" wrapText="1"/>
    </xf>
    <xf numFmtId="0" fontId="4" fillId="0" borderId="22" xfId="0" applyFont="1" applyBorder="1" applyAlignment="1">
      <alignment horizontal="left" vertical="center" wrapText="1"/>
    </xf>
    <xf numFmtId="0" fontId="14" fillId="2" borderId="16" xfId="0" applyFont="1" applyFill="1" applyBorder="1" applyAlignment="1">
      <alignment horizontal="left" vertical="center"/>
    </xf>
    <xf numFmtId="0" fontId="14" fillId="2" borderId="22" xfId="0" applyFont="1" applyFill="1" applyBorder="1" applyAlignment="1">
      <alignment horizontal="left" vertical="center"/>
    </xf>
    <xf numFmtId="14" fontId="0" fillId="0" borderId="1" xfId="0" applyNumberFormat="1" applyBorder="1" applyAlignment="1">
      <alignment horizontal="left"/>
    </xf>
    <xf numFmtId="0" fontId="3" fillId="3" borderId="1" xfId="0" applyFont="1" applyFill="1" applyBorder="1" applyAlignment="1">
      <alignment horizontal="right" vertical="center"/>
    </xf>
    <xf numFmtId="0" fontId="3" fillId="3" borderId="1" xfId="0" applyFont="1" applyFill="1" applyBorder="1" applyAlignment="1">
      <alignment horizontal="center" vertical="center"/>
    </xf>
    <xf numFmtId="0" fontId="33" fillId="0" borderId="0" xfId="0" applyFont="1" applyAlignment="1">
      <alignment horizontal="center"/>
    </xf>
  </cellXfs>
  <cellStyles count="1">
    <cellStyle name="Normale" xfId="0" builtinId="0"/>
  </cellStyles>
  <dxfs count="5">
    <dxf>
      <font>
        <condense val="0"/>
        <extend val="0"/>
        <color indexed="8"/>
      </font>
      <fill>
        <patternFill>
          <bgColor indexed="10"/>
        </patternFill>
      </fill>
    </dxf>
    <dxf>
      <fill>
        <patternFill>
          <bgColor indexed="13"/>
        </patternFill>
      </fill>
    </dxf>
    <dxf>
      <fill>
        <patternFill>
          <bgColor indexed="13"/>
        </patternFill>
      </fill>
    </dxf>
    <dxf>
      <fill>
        <patternFill>
          <bgColor indexed="13"/>
        </patternFill>
      </fill>
    </dxf>
    <dxf>
      <font>
        <condense val="0"/>
        <extend val="0"/>
        <color indexed="8"/>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0</xdr:col>
      <xdr:colOff>38100</xdr:colOff>
      <xdr:row>2</xdr:row>
      <xdr:rowOff>38100</xdr:rowOff>
    </xdr:from>
    <xdr:to>
      <xdr:col>11</xdr:col>
      <xdr:colOff>47625</xdr:colOff>
      <xdr:row>2</xdr:row>
      <xdr:rowOff>66675</xdr:rowOff>
    </xdr:to>
    <xdr:pic>
      <xdr:nvPicPr>
        <xdr:cNvPr id="4178" name="Picture 41" descr="Linea">
          <a:extLst>
            <a:ext uri="{FF2B5EF4-FFF2-40B4-BE49-F238E27FC236}">
              <a16:creationId xmlns:a16="http://schemas.microsoft.com/office/drawing/2014/main" id="{00000000-0008-0000-0000-0000521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685800"/>
          <a:ext cx="98107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151608</xdr:colOff>
      <xdr:row>0</xdr:row>
      <xdr:rowOff>47625</xdr:rowOff>
    </xdr:from>
    <xdr:to>
      <xdr:col>2</xdr:col>
      <xdr:colOff>248441</xdr:colOff>
      <xdr:row>1</xdr:row>
      <xdr:rowOff>314325</xdr:rowOff>
    </xdr:to>
    <xdr:pic>
      <xdr:nvPicPr>
        <xdr:cNvPr id="4179" name="Picture 42">
          <a:extLst>
            <a:ext uri="{FF2B5EF4-FFF2-40B4-BE49-F238E27FC236}">
              <a16:creationId xmlns:a16="http://schemas.microsoft.com/office/drawing/2014/main" id="{00000000-0008-0000-0000-0000531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51608" y="47625"/>
          <a:ext cx="1442947" cy="587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34</xdr:row>
      <xdr:rowOff>85725</xdr:rowOff>
    </xdr:from>
    <xdr:to>
      <xdr:col>11</xdr:col>
      <xdr:colOff>0</xdr:colOff>
      <xdr:row>34</xdr:row>
      <xdr:rowOff>152400</xdr:rowOff>
    </xdr:to>
    <xdr:pic>
      <xdr:nvPicPr>
        <xdr:cNvPr id="4180" name="Picture 43" descr="Linea-down">
          <a:extLst>
            <a:ext uri="{FF2B5EF4-FFF2-40B4-BE49-F238E27FC236}">
              <a16:creationId xmlns:a16="http://schemas.microsoft.com/office/drawing/2014/main" id="{00000000-0008-0000-0000-00005410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25" y="8477250"/>
          <a:ext cx="97917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38100</xdr:rowOff>
    </xdr:from>
    <xdr:to>
      <xdr:col>11</xdr:col>
      <xdr:colOff>9525</xdr:colOff>
      <xdr:row>2</xdr:row>
      <xdr:rowOff>66675</xdr:rowOff>
    </xdr:to>
    <xdr:pic>
      <xdr:nvPicPr>
        <xdr:cNvPr id="2234" name="Picture 86" descr="Linea">
          <a:extLst>
            <a:ext uri="{FF2B5EF4-FFF2-40B4-BE49-F238E27FC236}">
              <a16:creationId xmlns:a16="http://schemas.microsoft.com/office/drawing/2014/main" id="{00000000-0008-0000-0100-0000BA08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04850"/>
          <a:ext cx="98107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104398</xdr:colOff>
      <xdr:row>0</xdr:row>
      <xdr:rowOff>0</xdr:rowOff>
    </xdr:from>
    <xdr:to>
      <xdr:col>2</xdr:col>
      <xdr:colOff>200402</xdr:colOff>
      <xdr:row>1</xdr:row>
      <xdr:rowOff>276225</xdr:rowOff>
    </xdr:to>
    <xdr:pic>
      <xdr:nvPicPr>
        <xdr:cNvPr id="2235" name="Picture 87">
          <a:extLst>
            <a:ext uri="{FF2B5EF4-FFF2-40B4-BE49-F238E27FC236}">
              <a16:creationId xmlns:a16="http://schemas.microsoft.com/office/drawing/2014/main" id="{00000000-0008-0000-0100-0000BB08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04398" y="0"/>
          <a:ext cx="1489147" cy="6065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34</xdr:row>
      <xdr:rowOff>57150</xdr:rowOff>
    </xdr:from>
    <xdr:to>
      <xdr:col>11</xdr:col>
      <xdr:colOff>19050</xdr:colOff>
      <xdr:row>34</xdr:row>
      <xdr:rowOff>123825</xdr:rowOff>
    </xdr:to>
    <xdr:pic>
      <xdr:nvPicPr>
        <xdr:cNvPr id="2236" name="Picture 90" descr="Linea-down">
          <a:extLst>
            <a:ext uri="{FF2B5EF4-FFF2-40B4-BE49-F238E27FC236}">
              <a16:creationId xmlns:a16="http://schemas.microsoft.com/office/drawing/2014/main" id="{00000000-0008-0000-0100-0000BC08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 y="7162800"/>
          <a:ext cx="98012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61</xdr:row>
      <xdr:rowOff>57150</xdr:rowOff>
    </xdr:from>
    <xdr:to>
      <xdr:col>11</xdr:col>
      <xdr:colOff>19050</xdr:colOff>
      <xdr:row>61</xdr:row>
      <xdr:rowOff>123825</xdr:rowOff>
    </xdr:to>
    <xdr:pic>
      <xdr:nvPicPr>
        <xdr:cNvPr id="2237" name="Picture 91" descr="Linea-down">
          <a:extLst>
            <a:ext uri="{FF2B5EF4-FFF2-40B4-BE49-F238E27FC236}">
              <a16:creationId xmlns:a16="http://schemas.microsoft.com/office/drawing/2014/main" id="{00000000-0008-0000-0100-0000BD08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 y="12249150"/>
          <a:ext cx="98012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87</xdr:row>
      <xdr:rowOff>57150</xdr:rowOff>
    </xdr:from>
    <xdr:to>
      <xdr:col>11</xdr:col>
      <xdr:colOff>19050</xdr:colOff>
      <xdr:row>87</xdr:row>
      <xdr:rowOff>123825</xdr:rowOff>
    </xdr:to>
    <xdr:pic>
      <xdr:nvPicPr>
        <xdr:cNvPr id="2238" name="Picture 92" descr="Linea-down">
          <a:extLst>
            <a:ext uri="{FF2B5EF4-FFF2-40B4-BE49-F238E27FC236}">
              <a16:creationId xmlns:a16="http://schemas.microsoft.com/office/drawing/2014/main" id="{00000000-0008-0000-0100-0000BE08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 y="17202150"/>
          <a:ext cx="98012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113</xdr:row>
      <xdr:rowOff>57150</xdr:rowOff>
    </xdr:from>
    <xdr:to>
      <xdr:col>11</xdr:col>
      <xdr:colOff>19050</xdr:colOff>
      <xdr:row>113</xdr:row>
      <xdr:rowOff>123825</xdr:rowOff>
    </xdr:to>
    <xdr:pic>
      <xdr:nvPicPr>
        <xdr:cNvPr id="2239" name="Picture 93" descr="Linea-down">
          <a:extLst>
            <a:ext uri="{FF2B5EF4-FFF2-40B4-BE49-F238E27FC236}">
              <a16:creationId xmlns:a16="http://schemas.microsoft.com/office/drawing/2014/main" id="{00000000-0008-0000-0100-0000BF08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 y="22155150"/>
          <a:ext cx="98012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140</xdr:row>
      <xdr:rowOff>57150</xdr:rowOff>
    </xdr:from>
    <xdr:to>
      <xdr:col>11</xdr:col>
      <xdr:colOff>19050</xdr:colOff>
      <xdr:row>140</xdr:row>
      <xdr:rowOff>123825</xdr:rowOff>
    </xdr:to>
    <xdr:pic>
      <xdr:nvPicPr>
        <xdr:cNvPr id="2240" name="Picture 95" descr="Linea-down">
          <a:extLst>
            <a:ext uri="{FF2B5EF4-FFF2-40B4-BE49-F238E27FC236}">
              <a16:creationId xmlns:a16="http://schemas.microsoft.com/office/drawing/2014/main" id="{00000000-0008-0000-0100-0000C0080000}"/>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 y="27298650"/>
          <a:ext cx="9801225"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125408</xdr:colOff>
      <xdr:row>0</xdr:row>
      <xdr:rowOff>28575</xdr:rowOff>
    </xdr:from>
    <xdr:to>
      <xdr:col>2</xdr:col>
      <xdr:colOff>74616</xdr:colOff>
      <xdr:row>2</xdr:row>
      <xdr:rowOff>6350</xdr:rowOff>
    </xdr:to>
    <xdr:pic>
      <xdr:nvPicPr>
        <xdr:cNvPr id="7230" name="Picture 23">
          <a:extLst>
            <a:ext uri="{FF2B5EF4-FFF2-40B4-BE49-F238E27FC236}">
              <a16:creationId xmlns:a16="http://schemas.microsoft.com/office/drawing/2014/main" id="{00000000-0008-0000-0200-00003E1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5408" y="28575"/>
          <a:ext cx="1481187" cy="6033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2</xdr:row>
      <xdr:rowOff>85725</xdr:rowOff>
    </xdr:from>
    <xdr:to>
      <xdr:col>7</xdr:col>
      <xdr:colOff>0</xdr:colOff>
      <xdr:row>2</xdr:row>
      <xdr:rowOff>114300</xdr:rowOff>
    </xdr:to>
    <xdr:pic>
      <xdr:nvPicPr>
        <xdr:cNvPr id="7231" name="Picture 24" descr="Linea">
          <a:extLst>
            <a:ext uri="{FF2B5EF4-FFF2-40B4-BE49-F238E27FC236}">
              <a16:creationId xmlns:a16="http://schemas.microsoft.com/office/drawing/2014/main" id="{00000000-0008-0000-0200-00003F1C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 y="714375"/>
          <a:ext cx="67627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57</xdr:row>
      <xdr:rowOff>28575</xdr:rowOff>
    </xdr:from>
    <xdr:to>
      <xdr:col>7</xdr:col>
      <xdr:colOff>0</xdr:colOff>
      <xdr:row>57</xdr:row>
      <xdr:rowOff>85725</xdr:rowOff>
    </xdr:to>
    <xdr:pic>
      <xdr:nvPicPr>
        <xdr:cNvPr id="7232" name="Picture 25" descr="Linea-down">
          <a:extLst>
            <a:ext uri="{FF2B5EF4-FFF2-40B4-BE49-F238E27FC236}">
              <a16:creationId xmlns:a16="http://schemas.microsoft.com/office/drawing/2014/main" id="{00000000-0008-0000-0200-0000401C0000}"/>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50" y="11744325"/>
          <a:ext cx="675322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AE100"/>
  <sheetViews>
    <sheetView tabSelected="1" zoomScale="80" zoomScaleNormal="80" workbookViewId="0">
      <selection activeCell="O22" sqref="O22"/>
    </sheetView>
  </sheetViews>
  <sheetFormatPr defaultRowHeight="12.5" x14ac:dyDescent="0.25"/>
  <cols>
    <col min="1" max="1" width="8.81640625" customWidth="1"/>
    <col min="2" max="2" width="10" customWidth="1"/>
    <col min="3" max="3" width="21.81640625" customWidth="1"/>
    <col min="4" max="4" width="23.1796875" customWidth="1"/>
    <col min="5" max="5" width="14.81640625" customWidth="1"/>
    <col min="6" max="6" width="1.453125" customWidth="1"/>
    <col min="7" max="7" width="14.81640625" customWidth="1"/>
    <col min="8" max="8" width="12" customWidth="1"/>
    <col min="9" max="9" width="14.1796875" bestFit="1" customWidth="1"/>
    <col min="10" max="10" width="14.1796875" customWidth="1"/>
    <col min="11" max="11" width="12.1796875" customWidth="1"/>
    <col min="12" max="12" width="14.1796875" style="1" customWidth="1"/>
    <col min="13" max="13" width="9.1796875" style="1"/>
    <col min="14" max="14" width="22.54296875" style="1" customWidth="1"/>
    <col min="15" max="15" width="31" style="8" customWidth="1"/>
    <col min="16" max="27" width="9.1796875" style="1"/>
    <col min="29" max="29" width="25.54296875" customWidth="1"/>
    <col min="30" max="30" width="36.1796875" bestFit="1" customWidth="1"/>
    <col min="32" max="32" width="17.81640625" customWidth="1"/>
  </cols>
  <sheetData>
    <row r="1" spans="1:31" ht="25.5" customHeight="1" x14ac:dyDescent="0.35">
      <c r="A1" s="13"/>
      <c r="B1" s="13"/>
      <c r="C1" s="13"/>
      <c r="D1" s="13"/>
      <c r="E1" s="13"/>
      <c r="F1" s="13"/>
      <c r="H1" s="14"/>
      <c r="I1" s="1"/>
      <c r="J1" s="14"/>
      <c r="K1" s="15" t="s">
        <v>214</v>
      </c>
      <c r="L1"/>
      <c r="M1"/>
      <c r="N1"/>
      <c r="O1"/>
      <c r="P1"/>
      <c r="Q1"/>
      <c r="R1"/>
      <c r="S1"/>
      <c r="T1"/>
      <c r="U1"/>
      <c r="V1"/>
      <c r="W1"/>
      <c r="X1"/>
      <c r="Y1"/>
      <c r="Z1"/>
      <c r="AA1"/>
    </row>
    <row r="2" spans="1:31" ht="25.5" customHeight="1" x14ac:dyDescent="0.35">
      <c r="A2" s="13"/>
      <c r="B2" s="13"/>
      <c r="C2" s="13"/>
      <c r="D2" s="13"/>
      <c r="E2" s="13"/>
      <c r="F2" s="13"/>
      <c r="G2" s="14"/>
      <c r="H2" s="14"/>
      <c r="J2" s="14"/>
      <c r="K2" s="17" t="s">
        <v>113</v>
      </c>
      <c r="L2"/>
      <c r="M2"/>
      <c r="N2"/>
      <c r="O2"/>
      <c r="P2"/>
      <c r="Q2"/>
      <c r="R2"/>
      <c r="S2"/>
      <c r="T2"/>
      <c r="U2"/>
      <c r="V2"/>
      <c r="W2"/>
      <c r="X2"/>
      <c r="Y2"/>
      <c r="Z2"/>
      <c r="AA2"/>
    </row>
    <row r="3" spans="1:31" ht="17.25" customHeight="1" x14ac:dyDescent="0.35">
      <c r="A3" s="16"/>
      <c r="B3" s="13"/>
      <c r="C3" s="13"/>
      <c r="D3" s="13"/>
      <c r="E3" s="13"/>
      <c r="F3" s="13"/>
      <c r="G3" s="1"/>
      <c r="H3" s="13"/>
      <c r="I3" s="14"/>
      <c r="J3" s="13"/>
      <c r="L3"/>
      <c r="M3"/>
      <c r="N3"/>
      <c r="O3"/>
      <c r="P3"/>
      <c r="Q3"/>
      <c r="R3"/>
      <c r="S3"/>
      <c r="T3"/>
      <c r="U3"/>
      <c r="V3"/>
      <c r="W3"/>
      <c r="X3"/>
      <c r="Y3"/>
      <c r="Z3"/>
      <c r="AA3"/>
    </row>
    <row r="4" spans="1:31" ht="20.5" x14ac:dyDescent="0.45">
      <c r="A4" s="162" t="s">
        <v>83</v>
      </c>
      <c r="B4" s="163"/>
      <c r="C4" s="163"/>
      <c r="D4" s="163"/>
      <c r="E4" s="163"/>
      <c r="F4" s="163"/>
      <c r="G4" s="163"/>
      <c r="H4" s="163"/>
      <c r="I4" s="163"/>
      <c r="J4" s="163"/>
      <c r="K4" s="164"/>
      <c r="L4"/>
      <c r="M4"/>
      <c r="N4"/>
      <c r="O4"/>
      <c r="P4"/>
      <c r="Q4"/>
      <c r="R4"/>
      <c r="S4"/>
      <c r="T4"/>
      <c r="U4"/>
      <c r="V4"/>
      <c r="W4"/>
      <c r="X4"/>
      <c r="Y4"/>
      <c r="Z4"/>
      <c r="AA4"/>
    </row>
    <row r="5" spans="1:31" ht="20.5" x14ac:dyDescent="0.45">
      <c r="A5" s="75"/>
      <c r="B5" s="75"/>
      <c r="C5" s="75"/>
      <c r="D5" s="75"/>
      <c r="E5" s="75"/>
      <c r="F5" s="75"/>
      <c r="G5" s="75"/>
      <c r="H5" s="75"/>
      <c r="I5" s="75"/>
      <c r="J5" s="75"/>
      <c r="K5" s="75"/>
      <c r="L5"/>
      <c r="M5"/>
      <c r="N5"/>
      <c r="O5"/>
      <c r="P5"/>
      <c r="Q5"/>
      <c r="R5"/>
      <c r="S5"/>
      <c r="T5"/>
      <c r="U5"/>
      <c r="V5"/>
      <c r="W5"/>
      <c r="X5"/>
      <c r="Y5"/>
      <c r="Z5"/>
      <c r="AA5"/>
    </row>
    <row r="6" spans="1:31" s="19" customFormat="1" ht="19.5" customHeight="1" x14ac:dyDescent="0.35">
      <c r="A6" s="73"/>
      <c r="B6" s="76"/>
      <c r="C6" s="76"/>
      <c r="D6" s="76"/>
      <c r="E6" s="76"/>
      <c r="F6" s="160" t="s">
        <v>222</v>
      </c>
      <c r="G6" s="160"/>
      <c r="H6" s="161"/>
      <c r="I6" s="161"/>
      <c r="J6" s="161"/>
      <c r="K6" s="161"/>
      <c r="L6" s="13"/>
      <c r="M6" s="13"/>
      <c r="N6" s="13"/>
      <c r="O6" s="13"/>
      <c r="P6" s="13"/>
      <c r="Q6" s="13"/>
      <c r="R6" s="13"/>
      <c r="S6" s="13"/>
      <c r="T6" s="13"/>
      <c r="U6" s="13"/>
      <c r="V6" s="13"/>
      <c r="W6" s="13"/>
      <c r="X6" s="13"/>
      <c r="Y6" s="13"/>
      <c r="Z6" s="13"/>
      <c r="AA6" s="13"/>
      <c r="AC6" s="20"/>
      <c r="AD6" s="20"/>
      <c r="AE6" s="13"/>
    </row>
    <row r="7" spans="1:31" s="19" customFormat="1" ht="19.5" customHeight="1" x14ac:dyDescent="0.35">
      <c r="A7" s="73"/>
      <c r="B7" s="76"/>
      <c r="C7" s="76"/>
      <c r="D7" s="76"/>
      <c r="E7" s="76"/>
      <c r="F7" s="160" t="s">
        <v>19</v>
      </c>
      <c r="G7" s="160"/>
      <c r="H7" s="161"/>
      <c r="I7" s="161"/>
      <c r="J7" s="161"/>
      <c r="K7" s="161"/>
      <c r="L7" s="13"/>
      <c r="M7" s="13"/>
      <c r="N7" s="13"/>
      <c r="O7" s="13"/>
      <c r="P7" s="13"/>
      <c r="Q7" s="13"/>
      <c r="R7" s="13"/>
      <c r="S7" s="13"/>
      <c r="T7" s="13"/>
      <c r="U7" s="13"/>
      <c r="V7" s="13"/>
      <c r="W7" s="13"/>
      <c r="X7" s="13"/>
      <c r="Y7" s="13"/>
      <c r="Z7" s="13"/>
      <c r="AA7" s="13"/>
      <c r="AC7" s="20"/>
      <c r="AD7" s="20"/>
      <c r="AE7" s="13"/>
    </row>
    <row r="8" spans="1:31" s="19" customFormat="1" ht="19.5" customHeight="1" thickBot="1" x14ac:dyDescent="0.4">
      <c r="A8" s="73"/>
      <c r="B8" s="76"/>
      <c r="C8" s="76"/>
      <c r="D8" s="76"/>
      <c r="E8" s="76"/>
      <c r="F8" s="158" t="s">
        <v>118</v>
      </c>
      <c r="G8" s="158"/>
      <c r="H8" s="158"/>
      <c r="I8" s="158"/>
      <c r="J8" s="158"/>
      <c r="K8" s="159"/>
      <c r="L8" s="13"/>
      <c r="M8" s="13"/>
      <c r="N8" s="13"/>
      <c r="O8" s="13"/>
      <c r="P8" s="13"/>
      <c r="Q8" s="13"/>
      <c r="R8" s="13"/>
      <c r="S8" s="13"/>
      <c r="T8" s="13"/>
      <c r="U8" s="13"/>
      <c r="V8" s="13"/>
      <c r="W8" s="13"/>
      <c r="X8" s="13"/>
      <c r="Y8" s="13"/>
      <c r="Z8" s="13"/>
      <c r="AA8" s="13"/>
      <c r="AC8" s="20"/>
      <c r="AD8" s="20"/>
      <c r="AE8" s="13"/>
    </row>
    <row r="9" spans="1:31" s="19" customFormat="1" ht="20.25" customHeight="1" x14ac:dyDescent="0.35">
      <c r="A9" s="169" t="s">
        <v>104</v>
      </c>
      <c r="B9" s="170"/>
      <c r="C9" s="171"/>
      <c r="D9" s="169" t="s">
        <v>22</v>
      </c>
      <c r="E9" s="171"/>
      <c r="F9" s="13"/>
      <c r="G9" s="230" t="s">
        <v>40</v>
      </c>
      <c r="H9" s="231"/>
      <c r="I9" s="231"/>
      <c r="J9" s="231"/>
      <c r="K9" s="232"/>
      <c r="L9" s="13"/>
      <c r="M9" s="13"/>
      <c r="N9" s="13"/>
      <c r="O9" s="13"/>
      <c r="P9" s="13"/>
      <c r="Q9" s="13"/>
      <c r="R9" s="13"/>
      <c r="S9" s="13"/>
      <c r="T9" s="13"/>
      <c r="U9" s="13"/>
      <c r="V9" s="13"/>
      <c r="W9" s="13"/>
      <c r="X9" s="13"/>
      <c r="Y9" s="13"/>
      <c r="Z9" s="13"/>
      <c r="AA9" s="13"/>
      <c r="AC9" s="151" t="s">
        <v>75</v>
      </c>
      <c r="AD9" s="21">
        <f>RIMBORSO_SPESE!BL9+RIMBORSO_SPESE!BM9+RIMBORSO_SPESE!BN9</f>
        <v>0</v>
      </c>
    </row>
    <row r="10" spans="1:31" s="19" customFormat="1" ht="20.25" customHeight="1" x14ac:dyDescent="0.35">
      <c r="A10" s="191" t="s">
        <v>30</v>
      </c>
      <c r="B10" s="192"/>
      <c r="C10" s="74"/>
      <c r="D10" s="22" t="s">
        <v>61</v>
      </c>
      <c r="E10" s="23">
        <v>0</v>
      </c>
      <c r="F10" s="13"/>
      <c r="G10" s="180" t="s">
        <v>11</v>
      </c>
      <c r="H10" s="235"/>
      <c r="I10" s="181"/>
      <c r="J10" s="233" t="s">
        <v>3</v>
      </c>
      <c r="K10" s="234"/>
      <c r="L10" s="13"/>
      <c r="M10" s="13"/>
      <c r="N10" s="13"/>
      <c r="O10" s="13"/>
      <c r="P10" s="13"/>
      <c r="Q10" s="13"/>
      <c r="R10" s="13"/>
      <c r="S10" s="13"/>
      <c r="T10" s="13"/>
      <c r="U10" s="13"/>
      <c r="V10" s="13"/>
      <c r="W10" s="13"/>
      <c r="X10" s="13"/>
      <c r="Y10" s="13"/>
      <c r="Z10" s="13"/>
      <c r="AA10" s="13"/>
      <c r="AC10" s="151" t="s">
        <v>76</v>
      </c>
    </row>
    <row r="11" spans="1:31" s="19" customFormat="1" ht="20.25" customHeight="1" x14ac:dyDescent="0.35">
      <c r="A11" s="219" t="s">
        <v>31</v>
      </c>
      <c r="B11" s="220"/>
      <c r="C11" s="74"/>
      <c r="D11" s="24" t="s">
        <v>39</v>
      </c>
      <c r="E11" s="25">
        <f>RIMBORSO_SPESE!AQ9</f>
        <v>0</v>
      </c>
      <c r="F11" s="13"/>
      <c r="G11" s="212" t="s">
        <v>56</v>
      </c>
      <c r="H11" s="213"/>
      <c r="I11" s="214"/>
      <c r="J11" s="174">
        <v>0</v>
      </c>
      <c r="K11" s="175"/>
      <c r="L11" s="13"/>
      <c r="M11" s="13"/>
      <c r="N11" s="13"/>
      <c r="O11" s="13"/>
      <c r="P11" s="13"/>
      <c r="Q11" s="13"/>
      <c r="R11" s="13"/>
      <c r="S11" s="13"/>
      <c r="T11" s="13"/>
      <c r="U11" s="13"/>
      <c r="V11" s="13"/>
      <c r="W11" s="13"/>
      <c r="X11" s="13"/>
      <c r="Y11" s="13"/>
      <c r="Z11" s="13"/>
      <c r="AA11" s="13"/>
      <c r="AC11" s="151" t="s">
        <v>62</v>
      </c>
    </row>
    <row r="12" spans="1:31" s="19" customFormat="1" ht="20.25" customHeight="1" x14ac:dyDescent="0.35">
      <c r="A12" s="219" t="s">
        <v>52</v>
      </c>
      <c r="B12" s="220"/>
      <c r="C12" s="26"/>
      <c r="D12" s="24" t="s">
        <v>23</v>
      </c>
      <c r="E12" s="25">
        <f>RIMBORSO_SPESE!AV9+E18</f>
        <v>0</v>
      </c>
      <c r="F12" s="13"/>
      <c r="G12" s="212" t="s">
        <v>57</v>
      </c>
      <c r="H12" s="213"/>
      <c r="I12" s="214"/>
      <c r="J12" s="174">
        <v>0</v>
      </c>
      <c r="K12" s="175"/>
      <c r="L12" s="13" t="s">
        <v>96</v>
      </c>
      <c r="M12" s="13"/>
      <c r="N12" s="13"/>
      <c r="O12" s="13"/>
      <c r="P12" s="13"/>
      <c r="Q12" s="13"/>
      <c r="R12" s="13"/>
      <c r="S12" s="13"/>
      <c r="T12" s="13"/>
      <c r="U12" s="13"/>
      <c r="V12" s="13"/>
      <c r="W12" s="13"/>
      <c r="X12" s="13"/>
      <c r="Y12" s="13"/>
      <c r="Z12" s="13"/>
      <c r="AA12" s="13"/>
      <c r="AC12" s="151" t="s">
        <v>77</v>
      </c>
    </row>
    <row r="13" spans="1:31" s="19" customFormat="1" ht="20.25" customHeight="1" x14ac:dyDescent="0.35">
      <c r="A13" s="219" t="s">
        <v>32</v>
      </c>
      <c r="B13" s="220"/>
      <c r="C13" s="27"/>
      <c r="D13" s="22" t="s">
        <v>20</v>
      </c>
      <c r="E13" s="23">
        <v>0</v>
      </c>
      <c r="F13" s="13"/>
      <c r="G13" s="182" t="s">
        <v>69</v>
      </c>
      <c r="H13" s="183"/>
      <c r="I13" s="184"/>
      <c r="J13" s="174">
        <v>0</v>
      </c>
      <c r="K13" s="175"/>
      <c r="L13" s="13"/>
      <c r="M13" s="13"/>
      <c r="N13" s="13"/>
      <c r="O13" s="13"/>
      <c r="P13" s="13"/>
      <c r="Q13" s="13"/>
      <c r="R13" s="13"/>
      <c r="S13" s="13"/>
      <c r="T13" s="13"/>
      <c r="U13" s="13"/>
      <c r="V13" s="13"/>
      <c r="W13" s="13"/>
      <c r="X13" s="13"/>
      <c r="Y13" s="13"/>
      <c r="Z13" s="13"/>
      <c r="AA13" s="13"/>
      <c r="AC13" s="151" t="s">
        <v>79</v>
      </c>
    </row>
    <row r="14" spans="1:31" s="19" customFormat="1" ht="20.25" customHeight="1" thickBot="1" x14ac:dyDescent="0.4">
      <c r="A14" s="219" t="s">
        <v>33</v>
      </c>
      <c r="B14" s="220"/>
      <c r="C14" s="27"/>
      <c r="D14" s="28" t="s">
        <v>24</v>
      </c>
      <c r="E14" s="29">
        <f>E10+E11-E12-E13</f>
        <v>0</v>
      </c>
      <c r="F14" s="13"/>
      <c r="G14" s="182"/>
      <c r="H14" s="183"/>
      <c r="I14" s="184"/>
      <c r="J14" s="174"/>
      <c r="K14" s="175"/>
      <c r="L14" s="13"/>
      <c r="M14" s="13"/>
      <c r="N14" s="13"/>
      <c r="O14" s="13"/>
      <c r="P14" s="13"/>
      <c r="Q14" s="13"/>
      <c r="R14" s="13"/>
      <c r="S14" s="13"/>
      <c r="T14" s="13"/>
      <c r="U14" s="13"/>
      <c r="V14" s="13"/>
      <c r="W14" s="13"/>
      <c r="X14" s="13"/>
      <c r="Y14" s="13"/>
      <c r="Z14" s="13"/>
      <c r="AA14" s="13"/>
      <c r="AC14" s="151" t="s">
        <v>216</v>
      </c>
    </row>
    <row r="15" spans="1:31" s="19" customFormat="1" ht="20.25" customHeight="1" x14ac:dyDescent="0.35">
      <c r="A15" s="215" t="s">
        <v>78</v>
      </c>
      <c r="B15" s="216"/>
      <c r="C15" s="165"/>
      <c r="D15" s="169" t="s">
        <v>34</v>
      </c>
      <c r="E15" s="171"/>
      <c r="F15" s="13"/>
      <c r="G15" s="182"/>
      <c r="H15" s="183"/>
      <c r="I15" s="184"/>
      <c r="J15" s="174"/>
      <c r="K15" s="175"/>
      <c r="L15" s="13"/>
      <c r="M15" s="13"/>
      <c r="N15" s="13"/>
      <c r="O15" s="13"/>
      <c r="P15" s="13"/>
      <c r="Q15" s="13"/>
      <c r="R15" s="13"/>
      <c r="S15" s="13"/>
      <c r="T15" s="13"/>
      <c r="U15" s="13"/>
      <c r="V15" s="13"/>
      <c r="W15" s="13"/>
      <c r="X15" s="13"/>
      <c r="Y15" s="13"/>
      <c r="Z15" s="13"/>
      <c r="AA15" s="13"/>
      <c r="AC15" s="151" t="s">
        <v>217</v>
      </c>
    </row>
    <row r="16" spans="1:31" s="19" customFormat="1" ht="20.25" customHeight="1" thickBot="1" x14ac:dyDescent="0.4">
      <c r="A16" s="217"/>
      <c r="B16" s="218"/>
      <c r="C16" s="166"/>
      <c r="D16" s="30" t="s">
        <v>36</v>
      </c>
      <c r="E16" s="31" t="s">
        <v>51</v>
      </c>
      <c r="F16" s="13"/>
      <c r="G16" s="182"/>
      <c r="H16" s="183"/>
      <c r="I16" s="184"/>
      <c r="J16" s="174"/>
      <c r="K16" s="175"/>
      <c r="L16" s="13"/>
      <c r="M16" s="13"/>
      <c r="N16" s="13"/>
      <c r="O16" s="32"/>
      <c r="P16" s="13"/>
      <c r="Q16" s="13"/>
      <c r="R16" s="13"/>
      <c r="S16" s="13"/>
      <c r="T16" s="13"/>
      <c r="U16" s="13"/>
      <c r="V16" s="13"/>
      <c r="W16" s="13"/>
      <c r="X16" s="13"/>
      <c r="Y16" s="13"/>
      <c r="Z16" s="13"/>
      <c r="AA16" s="13"/>
      <c r="AC16" s="151" t="s">
        <v>218</v>
      </c>
    </row>
    <row r="17" spans="1:29" s="19" customFormat="1" ht="20.25" customHeight="1" x14ac:dyDescent="0.35">
      <c r="A17" s="191" t="s">
        <v>80</v>
      </c>
      <c r="B17" s="192"/>
      <c r="C17" s="27"/>
      <c r="D17" s="33" t="s">
        <v>82</v>
      </c>
      <c r="E17" s="34">
        <v>0</v>
      </c>
      <c r="F17" s="13"/>
      <c r="G17" s="169" t="s">
        <v>88</v>
      </c>
      <c r="H17" s="170"/>
      <c r="I17" s="170"/>
      <c r="J17" s="170"/>
      <c r="K17" s="171"/>
      <c r="L17" s="13"/>
      <c r="M17" s="13"/>
      <c r="N17" s="13"/>
      <c r="O17" s="32"/>
      <c r="P17" s="13"/>
      <c r="Q17" s="13"/>
      <c r="R17" s="13"/>
      <c r="S17" s="13"/>
      <c r="T17" s="13"/>
      <c r="U17" s="13"/>
      <c r="V17" s="13"/>
      <c r="W17" s="13"/>
      <c r="X17" s="13"/>
      <c r="Y17" s="13"/>
      <c r="Z17" s="13"/>
      <c r="AA17" s="13"/>
      <c r="AC17" s="151" t="s">
        <v>219</v>
      </c>
    </row>
    <row r="18" spans="1:29" s="19" customFormat="1" ht="20.25" customHeight="1" thickBot="1" x14ac:dyDescent="0.4">
      <c r="A18" s="219" t="s">
        <v>74</v>
      </c>
      <c r="B18" s="220"/>
      <c r="C18" s="27"/>
      <c r="D18" s="24" t="s">
        <v>43</v>
      </c>
      <c r="E18" s="35">
        <f>RIMBORSO_SPESE!AM9-RIMBORSO_SPESE!AO9</f>
        <v>0</v>
      </c>
      <c r="F18" s="13"/>
      <c r="G18" s="172" t="s">
        <v>86</v>
      </c>
      <c r="H18" s="173"/>
      <c r="I18" s="36">
        <f>'RIMBORSO KM'!G57</f>
        <v>0</v>
      </c>
      <c r="J18" s="37" t="s">
        <v>3</v>
      </c>
      <c r="K18" s="38">
        <f>I18*0.3</f>
        <v>0</v>
      </c>
      <c r="L18" s="13"/>
      <c r="M18" s="13"/>
      <c r="N18" s="13"/>
      <c r="O18" s="32"/>
      <c r="P18" s="13"/>
      <c r="Q18" s="13"/>
      <c r="R18" s="13"/>
      <c r="S18" s="13"/>
      <c r="T18" s="13"/>
      <c r="U18" s="13"/>
      <c r="V18" s="13"/>
      <c r="W18" s="13"/>
      <c r="X18" s="13"/>
      <c r="Y18" s="13"/>
      <c r="Z18" s="13"/>
      <c r="AA18" s="13"/>
      <c r="AC18" s="151" t="s">
        <v>220</v>
      </c>
    </row>
    <row r="19" spans="1:29" s="19" customFormat="1" ht="20.25" customHeight="1" x14ac:dyDescent="0.3">
      <c r="A19" s="224" t="s">
        <v>63</v>
      </c>
      <c r="B19" s="225"/>
      <c r="C19" s="39"/>
      <c r="D19" s="40" t="s">
        <v>53</v>
      </c>
      <c r="E19" s="41">
        <f>RIMBORSO_SPESE!AN9-RIMBORSO_SPESE!AP9</f>
        <v>0</v>
      </c>
      <c r="F19" s="13"/>
      <c r="G19" s="169" t="s">
        <v>55</v>
      </c>
      <c r="H19" s="170"/>
      <c r="I19" s="170"/>
      <c r="J19" s="170"/>
      <c r="K19" s="171"/>
      <c r="L19" s="13"/>
      <c r="M19" s="13"/>
      <c r="N19" s="13"/>
      <c r="O19" s="32"/>
      <c r="P19" s="13"/>
      <c r="Q19" s="13"/>
      <c r="R19" s="13"/>
      <c r="S19" s="13"/>
      <c r="T19" s="13"/>
      <c r="U19" s="13"/>
      <c r="V19" s="13"/>
      <c r="W19" s="13"/>
      <c r="X19" s="13"/>
      <c r="Y19" s="13"/>
      <c r="Z19" s="13"/>
      <c r="AA19" s="13"/>
    </row>
    <row r="20" spans="1:29" s="19" customFormat="1" ht="20.25" customHeight="1" x14ac:dyDescent="0.3">
      <c r="A20" s="224" t="s">
        <v>64</v>
      </c>
      <c r="B20" s="225"/>
      <c r="C20" s="39"/>
      <c r="D20" s="40" t="s">
        <v>46</v>
      </c>
      <c r="E20" s="42">
        <f>RIMBORSO_SPESE!AR9</f>
        <v>0</v>
      </c>
      <c r="F20" s="13"/>
      <c r="G20" s="180" t="s">
        <v>11</v>
      </c>
      <c r="H20" s="181"/>
      <c r="I20" s="43" t="s">
        <v>26</v>
      </c>
      <c r="J20" s="43" t="s">
        <v>87</v>
      </c>
      <c r="K20" s="44"/>
      <c r="L20" s="13"/>
      <c r="M20" s="13"/>
      <c r="N20" s="13"/>
      <c r="O20" s="32"/>
      <c r="P20" s="13"/>
      <c r="Q20" s="13"/>
      <c r="R20" s="13"/>
      <c r="S20" s="13"/>
      <c r="T20" s="13"/>
      <c r="U20" s="13"/>
      <c r="V20" s="13"/>
      <c r="W20" s="13"/>
      <c r="X20" s="13"/>
      <c r="Y20" s="13"/>
      <c r="Z20" s="13"/>
      <c r="AA20" s="13"/>
    </row>
    <row r="21" spans="1:29" s="19" customFormat="1" ht="20.25" customHeight="1" x14ac:dyDescent="0.3">
      <c r="A21" s="224" t="s">
        <v>65</v>
      </c>
      <c r="B21" s="225"/>
      <c r="C21" s="45"/>
      <c r="D21" s="40" t="s">
        <v>45</v>
      </c>
      <c r="E21" s="42">
        <f>RIMBORSO_SPESE!AW9</f>
        <v>0</v>
      </c>
      <c r="F21" s="13"/>
      <c r="G21" s="176" t="s">
        <v>70</v>
      </c>
      <c r="H21" s="177"/>
      <c r="I21" s="46">
        <f>RIMBORSO_SPESE!AT9</f>
        <v>0</v>
      </c>
      <c r="J21" s="46">
        <f>IF($E$25&lt;&gt;0,((RIMBORSO_SPESE!AU9)/$E$25),0)</f>
        <v>0</v>
      </c>
      <c r="K21" s="25"/>
      <c r="L21" s="13"/>
      <c r="M21" s="13"/>
      <c r="N21" s="13"/>
      <c r="O21" s="32"/>
      <c r="P21" s="13"/>
      <c r="Q21" s="13"/>
      <c r="R21" s="13"/>
      <c r="S21" s="13"/>
      <c r="T21" s="13"/>
      <c r="U21" s="13"/>
      <c r="V21" s="13"/>
      <c r="W21" s="13"/>
      <c r="X21" s="13"/>
      <c r="Y21" s="13"/>
      <c r="Z21" s="13"/>
      <c r="AA21" s="13"/>
    </row>
    <row r="22" spans="1:29" s="19" customFormat="1" ht="20.25" customHeight="1" thickBot="1" x14ac:dyDescent="0.35">
      <c r="A22" s="219" t="s">
        <v>221</v>
      </c>
      <c r="B22" s="220"/>
      <c r="C22" s="39"/>
      <c r="D22" s="40" t="s">
        <v>50</v>
      </c>
      <c r="E22" s="42">
        <f>E17+E19+E20-E21</f>
        <v>0</v>
      </c>
      <c r="F22" s="13"/>
      <c r="G22" s="208" t="s">
        <v>71</v>
      </c>
      <c r="H22" s="209"/>
      <c r="I22" s="47">
        <f>RIMBORSO_SPESE!AV9</f>
        <v>0</v>
      </c>
      <c r="J22" s="47">
        <f>IF($E$25&lt;&gt;0,((RIMBORSO_SPESE!AW9)/$E$25),0)</f>
        <v>0</v>
      </c>
      <c r="K22" s="48"/>
      <c r="L22" s="13"/>
      <c r="M22" s="13"/>
      <c r="N22" s="13"/>
      <c r="O22" s="32"/>
      <c r="P22" s="13"/>
      <c r="Q22" s="13"/>
      <c r="R22" s="13"/>
      <c r="S22" s="13"/>
      <c r="T22" s="13"/>
      <c r="U22" s="13"/>
      <c r="V22" s="13"/>
      <c r="W22" s="13"/>
      <c r="X22" s="13"/>
      <c r="Y22" s="13"/>
      <c r="Z22" s="13"/>
      <c r="AA22" s="13"/>
    </row>
    <row r="23" spans="1:29" s="19" customFormat="1" ht="20.25" customHeight="1" thickTop="1" x14ac:dyDescent="0.3">
      <c r="A23" s="228"/>
      <c r="B23" s="229"/>
      <c r="C23" s="39"/>
      <c r="D23" s="33" t="s">
        <v>66</v>
      </c>
      <c r="E23" s="34">
        <v>0</v>
      </c>
      <c r="F23" s="13"/>
      <c r="G23" s="210" t="s">
        <v>27</v>
      </c>
      <c r="H23" s="211"/>
      <c r="I23" s="49">
        <f>RIMBORSO_SPESE!AY9+RIMBORSO_SPESE!AZ9</f>
        <v>0</v>
      </c>
      <c r="J23" s="49">
        <f>IF($E$25&lt;&gt;0,((RIMBORSO_SPESE!BA9+RIMBORSO_SPESE!BB9)/$E$25),0)</f>
        <v>0</v>
      </c>
      <c r="K23" s="50"/>
      <c r="L23" s="13"/>
      <c r="M23" s="13"/>
      <c r="N23" s="13"/>
      <c r="O23" s="32"/>
      <c r="P23" s="13"/>
      <c r="Q23" s="13"/>
      <c r="R23" s="13"/>
      <c r="S23" s="13"/>
      <c r="T23" s="13"/>
      <c r="U23" s="13"/>
      <c r="V23" s="13"/>
      <c r="W23" s="13"/>
      <c r="X23" s="13"/>
      <c r="Y23" s="13"/>
      <c r="Z23" s="13"/>
      <c r="AA23" s="13"/>
    </row>
    <row r="24" spans="1:29" s="19" customFormat="1" ht="20.25" customHeight="1" x14ac:dyDescent="0.3">
      <c r="A24" s="219" t="s">
        <v>67</v>
      </c>
      <c r="B24" s="220"/>
      <c r="C24" s="51"/>
      <c r="D24" s="24" t="s">
        <v>54</v>
      </c>
      <c r="E24" s="52">
        <f>(E22-E23)</f>
        <v>0</v>
      </c>
      <c r="F24" s="13"/>
      <c r="G24" s="176" t="s">
        <v>72</v>
      </c>
      <c r="H24" s="177"/>
      <c r="I24" s="46">
        <f>RIMBORSO_SPESE!AK9</f>
        <v>0</v>
      </c>
      <c r="J24" s="46"/>
      <c r="K24" s="53"/>
      <c r="L24" s="13"/>
      <c r="M24" s="13"/>
      <c r="N24" s="13"/>
      <c r="O24" s="32"/>
      <c r="P24" s="13"/>
      <c r="Q24" s="13"/>
      <c r="R24" s="13"/>
      <c r="S24" s="13"/>
      <c r="T24" s="13"/>
      <c r="U24" s="13"/>
      <c r="V24" s="13"/>
      <c r="W24" s="13"/>
      <c r="X24" s="13"/>
      <c r="Y24" s="13"/>
      <c r="Z24" s="13"/>
      <c r="AA24" s="13"/>
    </row>
    <row r="25" spans="1:29" s="19" customFormat="1" ht="20.25" customHeight="1" thickBot="1" x14ac:dyDescent="0.35">
      <c r="A25" s="226" t="s">
        <v>68</v>
      </c>
      <c r="B25" s="227"/>
      <c r="C25" s="54"/>
      <c r="D25" s="55" t="s">
        <v>47</v>
      </c>
      <c r="E25" s="56">
        <v>1</v>
      </c>
      <c r="F25" s="13"/>
      <c r="G25" s="178" t="s">
        <v>62</v>
      </c>
      <c r="H25" s="179"/>
      <c r="I25" s="57">
        <f>RIMBORSO_SPESE!BG9+RIMBORSO_SPESE!BH9</f>
        <v>0</v>
      </c>
      <c r="J25" s="57">
        <f>IF($E$25&lt;&gt;0,((RIMBORSO_SPESE!BI9+RIMBORSO_SPESE!BJ9)/$E$25),0)</f>
        <v>0</v>
      </c>
      <c r="K25" s="58"/>
      <c r="L25" s="13"/>
      <c r="M25" s="13"/>
      <c r="N25" s="13"/>
      <c r="O25" s="32"/>
      <c r="P25" s="13"/>
      <c r="Q25" s="13"/>
      <c r="R25" s="13"/>
      <c r="S25" s="13"/>
      <c r="T25" s="13"/>
      <c r="U25" s="13"/>
      <c r="V25" s="13"/>
      <c r="W25" s="13"/>
      <c r="X25" s="13"/>
      <c r="Y25" s="13"/>
      <c r="Z25" s="13"/>
      <c r="AA25" s="13"/>
    </row>
    <row r="26" spans="1:29" s="19" customFormat="1" ht="10.5" customHeight="1" thickBot="1" x14ac:dyDescent="0.35">
      <c r="A26" s="221"/>
      <c r="B26" s="221"/>
      <c r="C26" s="59"/>
      <c r="D26" s="60"/>
      <c r="E26" s="61"/>
      <c r="F26" s="13"/>
      <c r="G26" s="13"/>
      <c r="H26" s="13"/>
      <c r="I26" s="13"/>
      <c r="J26" s="13"/>
      <c r="K26" s="13"/>
      <c r="L26" s="13"/>
      <c r="M26" s="13"/>
      <c r="N26" s="13"/>
      <c r="O26" s="32"/>
      <c r="P26" s="13"/>
      <c r="Q26" s="13"/>
      <c r="R26" s="13"/>
      <c r="S26" s="13"/>
      <c r="T26" s="13"/>
      <c r="U26" s="13"/>
      <c r="V26" s="13"/>
      <c r="W26" s="13"/>
      <c r="X26" s="13"/>
      <c r="Y26" s="13"/>
      <c r="Z26" s="13"/>
      <c r="AA26" s="13"/>
    </row>
    <row r="27" spans="1:29" s="19" customFormat="1" ht="20.25" customHeight="1" x14ac:dyDescent="0.3">
      <c r="A27" s="62" t="s">
        <v>89</v>
      </c>
      <c r="B27" s="63"/>
      <c r="C27" s="63"/>
      <c r="D27" s="63"/>
      <c r="E27" s="64"/>
      <c r="F27" s="65"/>
      <c r="G27" s="13"/>
      <c r="H27" s="169" t="s">
        <v>58</v>
      </c>
      <c r="I27" s="170"/>
      <c r="J27" s="171"/>
      <c r="K27" s="13"/>
      <c r="L27" s="13"/>
      <c r="M27" s="13"/>
      <c r="N27" s="13"/>
      <c r="O27" s="32"/>
      <c r="P27" s="13"/>
      <c r="Q27" s="13"/>
      <c r="R27" s="13"/>
      <c r="S27" s="13"/>
      <c r="T27" s="13"/>
      <c r="U27" s="13"/>
      <c r="V27" s="13"/>
      <c r="W27" s="13"/>
      <c r="X27" s="13"/>
      <c r="Y27" s="13"/>
      <c r="Z27" s="13"/>
      <c r="AA27" s="13"/>
    </row>
    <row r="28" spans="1:29" s="19" customFormat="1" ht="20.25" customHeight="1" x14ac:dyDescent="0.3">
      <c r="A28" s="222" t="s">
        <v>11</v>
      </c>
      <c r="B28" s="223"/>
      <c r="C28" s="43" t="s">
        <v>25</v>
      </c>
      <c r="D28" s="43" t="s">
        <v>4</v>
      </c>
      <c r="E28" s="44" t="s">
        <v>102</v>
      </c>
      <c r="F28" s="66"/>
      <c r="G28" s="13"/>
      <c r="H28" s="167" t="s">
        <v>73</v>
      </c>
      <c r="I28" s="168"/>
      <c r="J28" s="67">
        <f>SUM(I21:J22)</f>
        <v>0</v>
      </c>
      <c r="K28" s="13"/>
      <c r="L28" s="13"/>
      <c r="M28" s="13"/>
      <c r="N28" s="13"/>
      <c r="O28" s="32"/>
      <c r="P28" s="13"/>
      <c r="Q28" s="13"/>
      <c r="R28" s="13"/>
      <c r="S28" s="13"/>
      <c r="T28" s="13"/>
      <c r="U28" s="13"/>
      <c r="V28" s="13"/>
      <c r="W28" s="13"/>
      <c r="X28" s="13"/>
      <c r="Y28" s="13"/>
      <c r="Z28" s="13"/>
      <c r="AA28" s="13"/>
    </row>
    <row r="29" spans="1:29" s="19" customFormat="1" ht="20.25" customHeight="1" x14ac:dyDescent="0.3">
      <c r="A29" s="198" t="s">
        <v>18</v>
      </c>
      <c r="B29" s="199"/>
      <c r="C29" s="46">
        <f>RIMBORSO_SPESE!AE9</f>
        <v>0</v>
      </c>
      <c r="D29" s="68">
        <f>RIMBORSO_SPESE!AF9</f>
        <v>0</v>
      </c>
      <c r="E29" s="25">
        <f>C29+IF($E$25&lt;&gt;0,(D29/$E$25),0)</f>
        <v>0</v>
      </c>
      <c r="F29" s="69"/>
      <c r="G29" s="13"/>
      <c r="H29" s="167" t="s">
        <v>97</v>
      </c>
      <c r="I29" s="168"/>
      <c r="J29" s="67">
        <f>J28+SUM(J11:K16)+K18</f>
        <v>0</v>
      </c>
      <c r="K29" s="13"/>
      <c r="L29" s="13"/>
      <c r="M29" s="13"/>
      <c r="N29" s="13"/>
      <c r="O29" s="32"/>
      <c r="P29" s="13"/>
      <c r="Q29" s="13"/>
      <c r="R29" s="13"/>
      <c r="S29" s="13"/>
      <c r="T29" s="13"/>
      <c r="U29" s="13"/>
      <c r="V29" s="13"/>
      <c r="W29" s="13"/>
      <c r="X29" s="13"/>
      <c r="Y29" s="13"/>
      <c r="Z29" s="13"/>
      <c r="AA29" s="13"/>
    </row>
    <row r="30" spans="1:29" s="19" customFormat="1" ht="20.25" customHeight="1" x14ac:dyDescent="0.3">
      <c r="A30" s="198" t="s">
        <v>1</v>
      </c>
      <c r="B30" s="199"/>
      <c r="C30" s="46">
        <f>RIMBORSO_SPESE!AG9</f>
        <v>0</v>
      </c>
      <c r="D30" s="68">
        <f>RIMBORSO_SPESE!AH9</f>
        <v>0</v>
      </c>
      <c r="E30" s="25">
        <f>C30+IF($E$25&lt;&gt;0,(D30/$E$25),0)</f>
        <v>0</v>
      </c>
      <c r="F30" s="69"/>
      <c r="G30" s="13"/>
      <c r="H30" s="195" t="s">
        <v>103</v>
      </c>
      <c r="I30" s="196"/>
      <c r="J30" s="35" t="str">
        <f>IF(C24+C25&gt;0,J29/(C24+C25+1),"")</f>
        <v/>
      </c>
      <c r="K30" s="13"/>
      <c r="L30" s="13"/>
      <c r="M30" s="13"/>
      <c r="N30" s="13"/>
      <c r="O30" s="32"/>
      <c r="P30" s="13"/>
      <c r="Q30" s="13"/>
      <c r="R30" s="13"/>
      <c r="S30" s="13"/>
      <c r="T30" s="13"/>
      <c r="U30" s="13"/>
      <c r="V30" s="13"/>
      <c r="W30" s="13"/>
      <c r="X30" s="13"/>
      <c r="Y30" s="13"/>
      <c r="Z30" s="13"/>
      <c r="AA30" s="13"/>
    </row>
    <row r="31" spans="1:29" s="19" customFormat="1" ht="20.25" customHeight="1" thickBot="1" x14ac:dyDescent="0.35">
      <c r="A31" s="189" t="s">
        <v>7</v>
      </c>
      <c r="B31" s="190"/>
      <c r="C31" s="57">
        <f>RIMBORSO_SPESE!AI9+RIMBORSO_SPESE!AK9</f>
        <v>0</v>
      </c>
      <c r="D31" s="70">
        <f>RIMBORSO_SPESE!AJ9+RIMBORSO_SPESE!AL9</f>
        <v>0</v>
      </c>
      <c r="E31" s="71">
        <f>C31+IF($E$25&lt;&gt;0,(D31/$E$25),0)</f>
        <v>0</v>
      </c>
      <c r="F31" s="69"/>
      <c r="G31" s="13"/>
      <c r="H31" s="193" t="s">
        <v>92</v>
      </c>
      <c r="I31" s="194"/>
      <c r="J31" s="72">
        <f>(E14* -1) +K18</f>
        <v>0</v>
      </c>
      <c r="K31" s="13"/>
      <c r="L31" s="13"/>
      <c r="M31" s="13"/>
      <c r="N31" s="13"/>
      <c r="O31" s="32"/>
      <c r="P31" s="13"/>
      <c r="Q31" s="13"/>
      <c r="R31" s="13"/>
      <c r="S31" s="13"/>
      <c r="T31" s="13"/>
      <c r="U31" s="13"/>
      <c r="V31" s="13"/>
      <c r="W31" s="13"/>
      <c r="X31" s="13"/>
      <c r="Y31" s="13"/>
      <c r="Z31" s="13"/>
      <c r="AA31" s="13"/>
    </row>
    <row r="32" spans="1:29" s="19" customFormat="1" ht="6" customHeight="1" thickBot="1" x14ac:dyDescent="0.35">
      <c r="A32" s="13"/>
      <c r="B32" s="13"/>
      <c r="C32" s="13"/>
      <c r="D32" s="13"/>
      <c r="E32" s="13"/>
      <c r="F32" s="13"/>
      <c r="G32" s="197"/>
      <c r="H32" s="197"/>
      <c r="I32" s="13"/>
      <c r="J32" s="13"/>
      <c r="K32" s="13"/>
      <c r="L32" s="13"/>
      <c r="M32" s="13"/>
      <c r="N32" s="13"/>
      <c r="O32" s="32"/>
      <c r="P32" s="13"/>
      <c r="Q32" s="13"/>
      <c r="R32" s="13"/>
      <c r="S32" s="13"/>
      <c r="T32" s="13"/>
      <c r="U32" s="13"/>
      <c r="V32" s="13"/>
      <c r="W32" s="13"/>
      <c r="X32" s="13"/>
      <c r="Y32" s="13"/>
      <c r="Z32" s="13"/>
      <c r="AA32" s="13"/>
    </row>
    <row r="33" spans="1:29" s="19" customFormat="1" ht="16.5" customHeight="1" x14ac:dyDescent="0.3">
      <c r="A33" s="200" t="s">
        <v>85</v>
      </c>
      <c r="B33" s="201"/>
      <c r="C33" s="201"/>
      <c r="D33" s="204"/>
      <c r="E33" s="205"/>
      <c r="F33" s="13"/>
      <c r="G33" s="200" t="s">
        <v>28</v>
      </c>
      <c r="H33" s="201"/>
      <c r="I33" s="185"/>
      <c r="J33" s="185"/>
      <c r="K33" s="186"/>
      <c r="L33" s="13"/>
      <c r="M33" s="13"/>
      <c r="N33" s="13"/>
      <c r="O33" s="32"/>
      <c r="P33" s="13"/>
      <c r="Q33" s="13"/>
      <c r="R33" s="13"/>
      <c r="S33" s="13"/>
      <c r="T33" s="13"/>
      <c r="U33" s="13"/>
      <c r="V33" s="13"/>
      <c r="W33" s="13"/>
      <c r="X33" s="13"/>
      <c r="Y33" s="13"/>
      <c r="Z33" s="13"/>
      <c r="AA33" s="13"/>
    </row>
    <row r="34" spans="1:29" s="19" customFormat="1" ht="15" customHeight="1" thickBot="1" x14ac:dyDescent="0.35">
      <c r="A34" s="202"/>
      <c r="B34" s="203"/>
      <c r="C34" s="203"/>
      <c r="D34" s="206"/>
      <c r="E34" s="207"/>
      <c r="F34" s="13"/>
      <c r="G34" s="202"/>
      <c r="H34" s="203"/>
      <c r="I34" s="187"/>
      <c r="J34" s="187"/>
      <c r="K34" s="188"/>
      <c r="L34" s="13"/>
      <c r="M34" s="13"/>
      <c r="N34" s="13"/>
      <c r="O34" s="32"/>
      <c r="P34" s="13"/>
      <c r="Q34" s="13"/>
      <c r="R34" s="13"/>
      <c r="S34" s="13"/>
      <c r="T34" s="13"/>
      <c r="U34" s="13"/>
      <c r="V34" s="13"/>
      <c r="W34" s="13"/>
      <c r="X34" s="13"/>
      <c r="Y34" s="13"/>
      <c r="Z34" s="13"/>
      <c r="AA34" s="13"/>
    </row>
    <row r="35" spans="1:29" ht="13" x14ac:dyDescent="0.3">
      <c r="A35" s="1"/>
      <c r="B35" s="1"/>
      <c r="C35" s="1"/>
      <c r="D35" s="1"/>
      <c r="E35" s="1"/>
      <c r="F35" s="1"/>
      <c r="G35" s="1"/>
      <c r="H35" s="1"/>
      <c r="I35" s="1"/>
      <c r="J35" s="1"/>
      <c r="K35" s="1"/>
      <c r="AC35" s="19"/>
    </row>
    <row r="36" spans="1:29" x14ac:dyDescent="0.25">
      <c r="A36" s="1"/>
      <c r="B36" s="1"/>
      <c r="C36" s="1"/>
      <c r="D36" s="1"/>
      <c r="E36" s="1"/>
      <c r="F36" s="1"/>
      <c r="G36" s="1"/>
      <c r="H36" s="1"/>
      <c r="I36" s="1"/>
      <c r="J36" s="1"/>
      <c r="K36" s="1"/>
    </row>
    <row r="37" spans="1:29" x14ac:dyDescent="0.25">
      <c r="A37" s="1"/>
      <c r="B37" s="1"/>
      <c r="C37" s="1"/>
      <c r="D37" s="1"/>
      <c r="E37" s="1"/>
      <c r="F37" s="1"/>
      <c r="G37" s="1"/>
      <c r="H37" s="1"/>
      <c r="I37" s="1"/>
      <c r="J37" s="1"/>
      <c r="K37" s="1"/>
    </row>
    <row r="38" spans="1:29" x14ac:dyDescent="0.25">
      <c r="A38" s="1"/>
      <c r="B38" s="1"/>
      <c r="C38" s="1"/>
      <c r="D38" s="1"/>
      <c r="E38" s="1"/>
      <c r="F38" s="1"/>
      <c r="G38" s="1"/>
      <c r="H38" s="1"/>
      <c r="I38" s="1"/>
      <c r="J38" s="1"/>
      <c r="K38" s="1"/>
      <c r="O38" s="1"/>
    </row>
    <row r="39" spans="1:29" x14ac:dyDescent="0.25">
      <c r="A39" s="1"/>
      <c r="B39" s="1"/>
      <c r="C39" s="1"/>
      <c r="D39" s="1"/>
      <c r="E39" s="1"/>
      <c r="F39" s="1"/>
      <c r="G39" s="1"/>
      <c r="H39" s="1"/>
      <c r="I39" s="1"/>
      <c r="J39" s="1"/>
      <c r="K39" s="1"/>
      <c r="O39" s="1"/>
    </row>
    <row r="40" spans="1:29" x14ac:dyDescent="0.25">
      <c r="A40" s="1"/>
      <c r="B40" s="1"/>
      <c r="C40" s="1"/>
      <c r="D40" s="1"/>
      <c r="E40" s="1"/>
      <c r="F40" s="1"/>
      <c r="G40" s="1"/>
      <c r="H40" s="1"/>
      <c r="I40" s="1"/>
      <c r="J40" s="1"/>
      <c r="K40" s="1"/>
      <c r="O40" s="1"/>
    </row>
    <row r="41" spans="1:29" x14ac:dyDescent="0.25">
      <c r="A41" s="1"/>
      <c r="B41" s="1"/>
      <c r="C41" s="1" t="s">
        <v>60</v>
      </c>
      <c r="D41" s="1"/>
      <c r="E41" s="1"/>
      <c r="F41" s="1"/>
      <c r="G41" s="1"/>
      <c r="H41" s="1"/>
      <c r="I41" s="1"/>
      <c r="J41" s="1"/>
      <c r="K41" s="1"/>
      <c r="O41" s="1"/>
    </row>
    <row r="42" spans="1:29" x14ac:dyDescent="0.25">
      <c r="A42" s="1"/>
      <c r="B42" s="1"/>
      <c r="C42" s="1"/>
      <c r="D42" s="1"/>
      <c r="E42" s="1"/>
      <c r="F42" s="1"/>
      <c r="G42" s="1"/>
      <c r="H42" s="1"/>
      <c r="I42" s="1"/>
      <c r="J42" s="1"/>
      <c r="K42" s="1"/>
      <c r="O42" s="1"/>
    </row>
    <row r="43" spans="1:29" x14ac:dyDescent="0.25">
      <c r="A43" s="1"/>
      <c r="B43" s="1"/>
      <c r="C43" s="1"/>
      <c r="D43" s="1"/>
      <c r="E43" s="1"/>
      <c r="F43" s="1"/>
      <c r="G43" s="1"/>
      <c r="H43" s="1"/>
      <c r="I43" s="1"/>
      <c r="J43" s="1"/>
      <c r="K43" s="1"/>
      <c r="O43" s="1"/>
    </row>
    <row r="44" spans="1:29" x14ac:dyDescent="0.25">
      <c r="A44" s="1"/>
      <c r="B44" s="1"/>
      <c r="C44" s="1"/>
      <c r="D44" s="1"/>
      <c r="E44" s="1"/>
      <c r="F44" s="1"/>
      <c r="G44" s="1"/>
      <c r="H44" s="1"/>
      <c r="I44" s="1"/>
      <c r="J44" s="1"/>
      <c r="K44" s="1"/>
      <c r="O44" s="1"/>
    </row>
    <row r="45" spans="1:29" x14ac:dyDescent="0.25">
      <c r="A45" s="1"/>
      <c r="B45" s="1"/>
      <c r="C45" s="1"/>
      <c r="D45" s="1"/>
      <c r="E45" s="1"/>
      <c r="F45" s="1"/>
      <c r="G45" s="1"/>
      <c r="H45" s="1"/>
      <c r="I45" s="1"/>
      <c r="J45" s="1"/>
      <c r="K45" s="1"/>
      <c r="O45" s="1"/>
    </row>
    <row r="46" spans="1:29" x14ac:dyDescent="0.25">
      <c r="A46" s="1"/>
      <c r="B46" s="1"/>
      <c r="C46" s="1"/>
      <c r="D46" s="1"/>
      <c r="E46" s="1"/>
      <c r="F46" s="1"/>
      <c r="G46" s="1"/>
      <c r="H46" s="1"/>
      <c r="I46" s="1"/>
      <c r="J46" s="1"/>
      <c r="K46" s="1"/>
      <c r="O46" s="1"/>
    </row>
    <row r="47" spans="1:29" x14ac:dyDescent="0.25">
      <c r="A47" s="1"/>
      <c r="B47" s="1"/>
      <c r="C47" s="1"/>
      <c r="D47" s="1"/>
      <c r="E47" s="1"/>
      <c r="F47" s="1"/>
      <c r="G47" s="1"/>
      <c r="H47" s="1"/>
      <c r="I47" s="1"/>
      <c r="J47" s="1"/>
      <c r="K47" s="1"/>
      <c r="O47" s="1"/>
    </row>
    <row r="48" spans="1:29" x14ac:dyDescent="0.25">
      <c r="A48" s="1"/>
      <c r="B48" s="1"/>
      <c r="C48" s="1"/>
      <c r="D48" s="1"/>
      <c r="E48" s="1"/>
      <c r="F48" s="1"/>
      <c r="G48" s="1"/>
      <c r="H48" s="1"/>
      <c r="I48" s="1"/>
      <c r="J48" s="1"/>
      <c r="K48" s="1"/>
      <c r="O48" s="1"/>
    </row>
    <row r="49" spans="1:15" x14ac:dyDescent="0.25">
      <c r="A49" s="1"/>
      <c r="B49" s="1"/>
      <c r="C49" s="1"/>
      <c r="D49" s="1"/>
      <c r="E49" s="1"/>
      <c r="F49" s="1"/>
      <c r="G49" s="1"/>
      <c r="H49" s="1"/>
      <c r="I49" s="1"/>
      <c r="J49" s="1"/>
      <c r="K49" s="1"/>
      <c r="O49" s="1"/>
    </row>
    <row r="50" spans="1:15" x14ac:dyDescent="0.25">
      <c r="A50" s="1"/>
      <c r="B50" s="1"/>
      <c r="C50" s="1"/>
      <c r="D50" s="1"/>
      <c r="E50" s="1"/>
      <c r="F50" s="1"/>
      <c r="G50" s="1"/>
      <c r="H50" s="1"/>
      <c r="I50" s="1"/>
      <c r="J50" s="1"/>
      <c r="K50" s="1"/>
      <c r="O50" s="1"/>
    </row>
    <row r="51" spans="1:15" x14ac:dyDescent="0.25">
      <c r="A51" s="1"/>
      <c r="B51" s="1"/>
      <c r="C51" s="1"/>
      <c r="D51" s="1"/>
      <c r="E51" s="1"/>
      <c r="F51" s="1"/>
      <c r="G51" s="1"/>
      <c r="H51" s="1"/>
      <c r="I51" s="1"/>
      <c r="J51" s="1"/>
      <c r="K51" s="1"/>
      <c r="O51" s="1"/>
    </row>
    <row r="52" spans="1:15" x14ac:dyDescent="0.25">
      <c r="A52" s="1"/>
      <c r="B52" s="1"/>
      <c r="C52" s="1"/>
      <c r="D52" s="1"/>
      <c r="E52" s="1"/>
      <c r="F52" s="1"/>
      <c r="G52" s="1"/>
      <c r="H52" s="1"/>
      <c r="I52" s="1"/>
      <c r="J52" s="1"/>
      <c r="K52" s="1"/>
      <c r="O52" s="1"/>
    </row>
    <row r="53" spans="1:15" x14ac:dyDescent="0.25">
      <c r="A53" s="1"/>
      <c r="B53" s="1"/>
      <c r="C53" s="1"/>
      <c r="D53" s="1"/>
      <c r="E53" s="1"/>
      <c r="F53" s="1"/>
      <c r="G53" s="1"/>
      <c r="H53" s="1"/>
      <c r="I53" s="1"/>
      <c r="J53" s="1"/>
      <c r="K53" s="1"/>
      <c r="O53" s="1"/>
    </row>
    <row r="54" spans="1:15" x14ac:dyDescent="0.25">
      <c r="A54" s="1"/>
      <c r="B54" s="1"/>
      <c r="C54" s="1"/>
      <c r="D54" s="1"/>
      <c r="E54" s="1"/>
      <c r="F54" s="1"/>
      <c r="G54" s="1"/>
      <c r="H54" s="1"/>
      <c r="I54" s="1"/>
      <c r="J54" s="1"/>
      <c r="K54" s="1"/>
      <c r="O54" s="1"/>
    </row>
    <row r="55" spans="1:15" x14ac:dyDescent="0.25">
      <c r="A55" s="1"/>
      <c r="B55" s="1"/>
      <c r="C55" s="1"/>
      <c r="D55" s="1"/>
      <c r="E55" s="1"/>
      <c r="F55" s="1"/>
      <c r="G55" s="1"/>
      <c r="H55" s="1"/>
      <c r="I55" s="1"/>
      <c r="J55" s="1"/>
      <c r="K55" s="1"/>
      <c r="O55" s="1"/>
    </row>
    <row r="56" spans="1:15" x14ac:dyDescent="0.25">
      <c r="A56" s="1"/>
      <c r="B56" s="1"/>
      <c r="C56" s="1"/>
      <c r="D56" s="1"/>
      <c r="E56" s="1"/>
      <c r="F56" s="1"/>
      <c r="G56" s="1"/>
      <c r="H56" s="1"/>
      <c r="I56" s="1"/>
      <c r="J56" s="1"/>
      <c r="K56" s="1"/>
      <c r="O56" s="1"/>
    </row>
    <row r="57" spans="1:15" x14ac:dyDescent="0.25">
      <c r="A57" s="1"/>
      <c r="B57" s="1"/>
      <c r="C57" s="1"/>
      <c r="D57" s="1"/>
      <c r="E57" s="1"/>
      <c r="F57" s="1"/>
      <c r="G57" s="1"/>
      <c r="H57" s="1"/>
      <c r="I57" s="1"/>
      <c r="J57" s="1"/>
      <c r="K57" s="1"/>
      <c r="O57" s="1"/>
    </row>
    <row r="58" spans="1:15" x14ac:dyDescent="0.25">
      <c r="A58" s="1"/>
      <c r="B58" s="1"/>
      <c r="C58" s="1"/>
      <c r="D58" s="1"/>
      <c r="E58" s="1"/>
      <c r="F58" s="1"/>
      <c r="G58" s="1"/>
      <c r="H58" s="1"/>
      <c r="I58" s="1"/>
      <c r="J58" s="1"/>
      <c r="K58" s="1"/>
      <c r="O58" s="1"/>
    </row>
    <row r="59" spans="1:15" x14ac:dyDescent="0.25">
      <c r="A59" s="1"/>
      <c r="B59" s="1"/>
      <c r="C59" s="1"/>
      <c r="D59" s="1"/>
      <c r="E59" s="1"/>
      <c r="F59" s="1"/>
      <c r="G59" s="1"/>
      <c r="H59" s="1"/>
      <c r="I59" s="1"/>
      <c r="J59" s="1"/>
      <c r="K59" s="1"/>
      <c r="O59" s="1"/>
    </row>
    <row r="60" spans="1:15" x14ac:dyDescent="0.25">
      <c r="A60" s="1"/>
      <c r="B60" s="1"/>
      <c r="C60" s="1"/>
      <c r="D60" s="1"/>
      <c r="E60" s="1"/>
      <c r="F60" s="1"/>
      <c r="G60" s="1"/>
      <c r="H60" s="1"/>
      <c r="I60" s="1"/>
      <c r="J60" s="1"/>
      <c r="K60" s="1"/>
      <c r="O60" s="1"/>
    </row>
    <row r="61" spans="1:15" x14ac:dyDescent="0.25">
      <c r="A61" s="1"/>
      <c r="B61" s="1"/>
      <c r="C61" s="1"/>
      <c r="D61" s="1"/>
      <c r="E61" s="1"/>
      <c r="F61" s="1"/>
      <c r="G61" s="1"/>
      <c r="H61" s="1"/>
      <c r="I61" s="1"/>
      <c r="J61" s="1"/>
      <c r="K61" s="1"/>
      <c r="O61" s="1"/>
    </row>
    <row r="62" spans="1:15" x14ac:dyDescent="0.25">
      <c r="A62" s="1"/>
      <c r="B62" s="1"/>
      <c r="C62" s="1"/>
      <c r="D62" s="1"/>
      <c r="E62" s="1"/>
      <c r="F62" s="1"/>
      <c r="G62" s="1"/>
      <c r="H62" s="1"/>
      <c r="I62" s="1"/>
      <c r="J62" s="1"/>
      <c r="K62" s="1"/>
      <c r="O62" s="1"/>
    </row>
    <row r="63" spans="1:15" x14ac:dyDescent="0.25">
      <c r="A63" s="1"/>
      <c r="B63" s="1"/>
      <c r="C63" s="1"/>
      <c r="D63" s="1"/>
      <c r="E63" s="1"/>
      <c r="F63" s="1"/>
      <c r="G63" s="1"/>
      <c r="H63" s="1"/>
      <c r="I63" s="1"/>
      <c r="J63" s="1"/>
      <c r="K63" s="1"/>
      <c r="O63" s="1"/>
    </row>
    <row r="64" spans="1:15" x14ac:dyDescent="0.25">
      <c r="A64" s="1"/>
      <c r="B64" s="1"/>
      <c r="C64" s="1"/>
      <c r="D64" s="1"/>
      <c r="E64" s="1"/>
      <c r="F64" s="1"/>
      <c r="G64" s="1"/>
      <c r="H64" s="1"/>
      <c r="I64" s="1"/>
      <c r="J64" s="1"/>
      <c r="K64" s="1"/>
      <c r="O64" s="1"/>
    </row>
    <row r="65" spans="1:15" x14ac:dyDescent="0.25">
      <c r="A65" s="1"/>
      <c r="B65" s="1"/>
      <c r="C65" s="1"/>
      <c r="D65" s="1"/>
      <c r="E65" s="1"/>
      <c r="F65" s="1"/>
      <c r="G65" s="1"/>
      <c r="H65" s="1"/>
      <c r="I65" s="1"/>
      <c r="J65" s="1"/>
      <c r="K65" s="1"/>
      <c r="O65" s="1"/>
    </row>
    <row r="66" spans="1:15" x14ac:dyDescent="0.25">
      <c r="A66" s="1"/>
      <c r="B66" s="1"/>
      <c r="C66" s="1"/>
      <c r="D66" s="1"/>
      <c r="E66" s="1"/>
      <c r="F66" s="1"/>
      <c r="G66" s="1"/>
      <c r="H66" s="1"/>
      <c r="I66" s="1"/>
      <c r="J66" s="1"/>
      <c r="K66" s="1"/>
      <c r="O66" s="1"/>
    </row>
    <row r="67" spans="1:15" x14ac:dyDescent="0.25">
      <c r="A67" s="1"/>
      <c r="B67" s="1"/>
      <c r="C67" s="1"/>
      <c r="D67" s="1"/>
      <c r="E67" s="1"/>
      <c r="F67" s="1"/>
      <c r="G67" s="1"/>
      <c r="H67" s="1"/>
      <c r="I67" s="1"/>
      <c r="J67" s="1"/>
      <c r="K67" s="1"/>
      <c r="O67" s="1"/>
    </row>
    <row r="68" spans="1:15" x14ac:dyDescent="0.25">
      <c r="A68" s="1"/>
      <c r="B68" s="1"/>
      <c r="C68" s="1"/>
      <c r="D68" s="1"/>
      <c r="E68" s="1"/>
      <c r="F68" s="1"/>
      <c r="G68" s="1"/>
      <c r="H68" s="1"/>
      <c r="I68" s="1"/>
      <c r="J68" s="1"/>
      <c r="K68" s="1"/>
      <c r="O68" s="1"/>
    </row>
    <row r="69" spans="1:15" x14ac:dyDescent="0.25">
      <c r="A69" s="1"/>
      <c r="B69" s="1"/>
      <c r="C69" s="1"/>
      <c r="D69" s="1"/>
      <c r="E69" s="1"/>
      <c r="F69" s="1"/>
      <c r="G69" s="1"/>
      <c r="H69" s="1"/>
      <c r="I69" s="1"/>
      <c r="J69" s="1"/>
      <c r="K69" s="1"/>
      <c r="O69" s="1"/>
    </row>
    <row r="70" spans="1:15" x14ac:dyDescent="0.25">
      <c r="A70" s="1"/>
      <c r="B70" s="1"/>
      <c r="C70" s="1"/>
      <c r="D70" s="1"/>
      <c r="E70" s="1"/>
      <c r="F70" s="1"/>
      <c r="G70" s="1"/>
      <c r="H70" s="1"/>
      <c r="I70" s="1"/>
      <c r="J70" s="1"/>
      <c r="K70" s="1"/>
      <c r="O70" s="1"/>
    </row>
    <row r="71" spans="1:15" x14ac:dyDescent="0.25">
      <c r="A71" s="1"/>
      <c r="B71" s="1"/>
      <c r="C71" s="1"/>
      <c r="D71" s="1"/>
      <c r="E71" s="1"/>
      <c r="F71" s="1"/>
      <c r="G71" s="1"/>
      <c r="H71" s="1"/>
      <c r="I71" s="1"/>
      <c r="J71" s="1"/>
      <c r="K71" s="1"/>
      <c r="O71" s="1"/>
    </row>
    <row r="72" spans="1:15" x14ac:dyDescent="0.25">
      <c r="A72" s="1"/>
      <c r="B72" s="1"/>
      <c r="C72" s="1"/>
      <c r="D72" s="1"/>
      <c r="E72" s="1"/>
      <c r="F72" s="1"/>
      <c r="G72" s="1"/>
      <c r="H72" s="1"/>
      <c r="I72" s="1"/>
      <c r="J72" s="1"/>
      <c r="K72" s="1"/>
      <c r="O72" s="1"/>
    </row>
    <row r="73" spans="1:15" x14ac:dyDescent="0.25">
      <c r="O73" s="1"/>
    </row>
    <row r="74" spans="1:15" x14ac:dyDescent="0.25">
      <c r="O74" s="1"/>
    </row>
    <row r="75" spans="1:15" x14ac:dyDescent="0.25">
      <c r="O75" s="1"/>
    </row>
    <row r="76" spans="1:15" x14ac:dyDescent="0.25">
      <c r="O76" s="1"/>
    </row>
    <row r="77" spans="1:15" x14ac:dyDescent="0.25">
      <c r="O77" s="1"/>
    </row>
    <row r="78" spans="1:15" x14ac:dyDescent="0.25">
      <c r="O78" s="1"/>
    </row>
    <row r="79" spans="1:15" x14ac:dyDescent="0.25">
      <c r="O79" s="1"/>
    </row>
    <row r="80" spans="1:15" x14ac:dyDescent="0.25">
      <c r="O80" s="1"/>
    </row>
    <row r="81" spans="15:15" x14ac:dyDescent="0.25">
      <c r="O81" s="1"/>
    </row>
    <row r="82" spans="15:15" x14ac:dyDescent="0.25">
      <c r="O82" s="1"/>
    </row>
    <row r="83" spans="15:15" x14ac:dyDescent="0.25">
      <c r="O83" s="1"/>
    </row>
    <row r="84" spans="15:15" x14ac:dyDescent="0.25">
      <c r="O84" s="1"/>
    </row>
    <row r="85" spans="15:15" x14ac:dyDescent="0.25">
      <c r="O85" s="1"/>
    </row>
    <row r="86" spans="15:15" x14ac:dyDescent="0.25">
      <c r="O86" s="1"/>
    </row>
    <row r="87" spans="15:15" x14ac:dyDescent="0.25">
      <c r="O87" s="1"/>
    </row>
    <row r="88" spans="15:15" x14ac:dyDescent="0.25">
      <c r="O88" s="1"/>
    </row>
    <row r="89" spans="15:15" x14ac:dyDescent="0.25">
      <c r="O89" s="1"/>
    </row>
    <row r="90" spans="15:15" x14ac:dyDescent="0.25">
      <c r="O90" s="1"/>
    </row>
    <row r="91" spans="15:15" x14ac:dyDescent="0.25">
      <c r="O91" s="1"/>
    </row>
    <row r="92" spans="15:15" x14ac:dyDescent="0.25">
      <c r="O92" s="1"/>
    </row>
    <row r="93" spans="15:15" x14ac:dyDescent="0.25">
      <c r="O93" s="1"/>
    </row>
    <row r="94" spans="15:15" x14ac:dyDescent="0.25">
      <c r="O94" s="1"/>
    </row>
    <row r="95" spans="15:15" x14ac:dyDescent="0.25">
      <c r="O95" s="1"/>
    </row>
    <row r="96" spans="15:15" x14ac:dyDescent="0.25">
      <c r="O96" s="1"/>
    </row>
    <row r="97" spans="15:15" x14ac:dyDescent="0.25">
      <c r="O97" s="1"/>
    </row>
    <row r="98" spans="15:15" x14ac:dyDescent="0.25">
      <c r="O98" s="1"/>
    </row>
    <row r="99" spans="15:15" x14ac:dyDescent="0.25">
      <c r="O99" s="1"/>
    </row>
    <row r="100" spans="15:15" x14ac:dyDescent="0.25">
      <c r="O100" s="1"/>
    </row>
  </sheetData>
  <protectedRanges>
    <protectedRange sqref="E10 E13 E16:E17 E25 I18 E23 G11:K16 C10:C21 C23:C25" name="Range1"/>
    <protectedRange sqref="I1:I3 G1:G5" name="Range1_1"/>
    <protectedRange sqref="C22" name="Range1_2"/>
  </protectedRanges>
  <mergeCells count="64">
    <mergeCell ref="J11:K11"/>
    <mergeCell ref="G9:K9"/>
    <mergeCell ref="J10:K10"/>
    <mergeCell ref="G10:I10"/>
    <mergeCell ref="G11:I11"/>
    <mergeCell ref="A13:B13"/>
    <mergeCell ref="G13:I13"/>
    <mergeCell ref="A10:B10"/>
    <mergeCell ref="A12:B12"/>
    <mergeCell ref="D9:E9"/>
    <mergeCell ref="A9:C9"/>
    <mergeCell ref="A11:B11"/>
    <mergeCell ref="A15:B16"/>
    <mergeCell ref="A18:B18"/>
    <mergeCell ref="A26:B26"/>
    <mergeCell ref="A14:B14"/>
    <mergeCell ref="A30:B30"/>
    <mergeCell ref="A28:B28"/>
    <mergeCell ref="A19:B19"/>
    <mergeCell ref="A20:B20"/>
    <mergeCell ref="A24:B24"/>
    <mergeCell ref="A25:B25"/>
    <mergeCell ref="A23:B23"/>
    <mergeCell ref="A22:B22"/>
    <mergeCell ref="A21:B21"/>
    <mergeCell ref="J12:K12"/>
    <mergeCell ref="J13:K13"/>
    <mergeCell ref="D15:E15"/>
    <mergeCell ref="G14:I14"/>
    <mergeCell ref="G12:I12"/>
    <mergeCell ref="J14:K14"/>
    <mergeCell ref="G15:I15"/>
    <mergeCell ref="J15:K15"/>
    <mergeCell ref="I33:K34"/>
    <mergeCell ref="H27:J27"/>
    <mergeCell ref="A31:B31"/>
    <mergeCell ref="A17:B17"/>
    <mergeCell ref="H31:I31"/>
    <mergeCell ref="H30:I30"/>
    <mergeCell ref="G32:H32"/>
    <mergeCell ref="A29:B29"/>
    <mergeCell ref="A33:C34"/>
    <mergeCell ref="D33:E34"/>
    <mergeCell ref="G33:H34"/>
    <mergeCell ref="G21:H21"/>
    <mergeCell ref="G22:H22"/>
    <mergeCell ref="G23:H23"/>
    <mergeCell ref="C15:C16"/>
    <mergeCell ref="H29:I29"/>
    <mergeCell ref="H28:I28"/>
    <mergeCell ref="G17:K17"/>
    <mergeCell ref="G18:H18"/>
    <mergeCell ref="J16:K16"/>
    <mergeCell ref="G19:K19"/>
    <mergeCell ref="G24:H24"/>
    <mergeCell ref="G25:H25"/>
    <mergeCell ref="G20:H20"/>
    <mergeCell ref="G16:I16"/>
    <mergeCell ref="F8:K8"/>
    <mergeCell ref="F7:G7"/>
    <mergeCell ref="H7:K7"/>
    <mergeCell ref="A4:K4"/>
    <mergeCell ref="F6:G6"/>
    <mergeCell ref="H6:K6"/>
  </mergeCells>
  <phoneticPr fontId="2" type="noConversion"/>
  <conditionalFormatting sqref="F8:K8">
    <cfRule type="expression" dxfId="4" priority="1" stopIfTrue="1">
      <formula>$AD$4&gt;0</formula>
    </cfRule>
  </conditionalFormatting>
  <dataValidations count="3">
    <dataValidation type="decimal" operator="greaterThan" allowBlank="1" showInputMessage="1" showErrorMessage="1" sqref="J11:K11 E25 E23 E17 E13 E10" xr:uid="{00000000-0002-0000-0000-000000000000}">
      <formula1>0</formula1>
    </dataValidation>
    <dataValidation type="whole" operator="greaterThan" allowBlank="1" showInputMessage="1" showErrorMessage="1" sqref="C24:C25" xr:uid="{00000000-0002-0000-0000-000001000000}">
      <formula1>0</formula1>
    </dataValidation>
    <dataValidation type="list" allowBlank="1" showInputMessage="1" showErrorMessage="1" sqref="C14" xr:uid="{00000000-0002-0000-0000-000002000000}">
      <formula1>$AC$9:$AC$18</formula1>
    </dataValidation>
  </dataValidations>
  <printOptions horizontalCentered="1"/>
  <pageMargins left="0.35433070866141736" right="0.35433070866141736" top="0.35433070866141736" bottom="0.43307086614173229" header="0" footer="0.19685039370078741"/>
  <pageSetup paperSize="9" scale="79"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indexed="39"/>
    <pageSetUpPr fitToPage="1"/>
  </sheetPr>
  <dimension ref="A1:BN172"/>
  <sheetViews>
    <sheetView zoomScale="90" zoomScaleNormal="90" workbookViewId="0">
      <selection activeCell="B11" sqref="B11:H24"/>
    </sheetView>
  </sheetViews>
  <sheetFormatPr defaultRowHeight="15" customHeight="1" x14ac:dyDescent="0.25"/>
  <cols>
    <col min="1" max="1" width="9.1796875" style="2"/>
    <col min="2" max="2" width="10.1796875" style="2" customWidth="1"/>
    <col min="3" max="3" width="16.81640625" style="2" customWidth="1"/>
    <col min="4" max="4" width="38" customWidth="1"/>
    <col min="5" max="5" width="11" style="4" bestFit="1" customWidth="1"/>
    <col min="6" max="6" width="12.81640625" customWidth="1"/>
    <col min="7" max="7" width="11.1796875" customWidth="1"/>
    <col min="8" max="8" width="8.1796875" customWidth="1"/>
    <col min="9" max="9" width="8.54296875" customWidth="1"/>
    <col min="11" max="11" width="9.54296875" customWidth="1"/>
    <col min="24" max="24" width="6.54296875" customWidth="1"/>
    <col min="26" max="26" width="16" bestFit="1" customWidth="1"/>
    <col min="27" max="27" width="21" bestFit="1" customWidth="1"/>
    <col min="28" max="28" width="8" bestFit="1" customWidth="1"/>
    <col min="29" max="29" width="8" customWidth="1"/>
    <col min="31" max="44" width="14.81640625" customWidth="1"/>
    <col min="45" max="45" width="7.453125" customWidth="1"/>
    <col min="46" max="49" width="14.81640625" customWidth="1"/>
    <col min="50" max="50" width="6.81640625" customWidth="1"/>
    <col min="51" max="62" width="13.1796875" customWidth="1"/>
    <col min="64" max="65" width="24.81640625" customWidth="1"/>
    <col min="66" max="66" width="20.1796875" customWidth="1"/>
  </cols>
  <sheetData>
    <row r="1" spans="1:66" ht="26.25" customHeight="1" x14ac:dyDescent="0.35">
      <c r="A1" s="13"/>
      <c r="B1" s="13"/>
      <c r="C1" s="13"/>
      <c r="D1" s="13"/>
      <c r="E1" s="13"/>
      <c r="F1" s="13"/>
      <c r="H1" s="14"/>
      <c r="I1" s="1"/>
      <c r="J1" s="14"/>
      <c r="K1" s="15" t="s">
        <v>215</v>
      </c>
    </row>
    <row r="2" spans="1:66" ht="26.25" customHeight="1" x14ac:dyDescent="0.35">
      <c r="A2" s="13"/>
      <c r="B2" s="13"/>
      <c r="C2" s="13"/>
      <c r="D2" s="13"/>
      <c r="E2" s="13"/>
      <c r="F2" s="13"/>
      <c r="G2" s="14"/>
      <c r="H2" s="14"/>
      <c r="J2" s="14"/>
      <c r="K2" s="17" t="s">
        <v>112</v>
      </c>
    </row>
    <row r="3" spans="1:66" ht="13" x14ac:dyDescent="0.3">
      <c r="A3" s="18"/>
      <c r="B3" s="13"/>
      <c r="C3" s="13"/>
      <c r="D3" s="13"/>
      <c r="E3" s="13"/>
      <c r="F3" s="13"/>
      <c r="G3" s="13"/>
      <c r="H3" s="13"/>
      <c r="I3" s="13"/>
      <c r="J3" s="1"/>
      <c r="K3" s="1"/>
    </row>
    <row r="4" spans="1:66" ht="20.5" x14ac:dyDescent="0.45">
      <c r="A4" s="162" t="s">
        <v>84</v>
      </c>
      <c r="B4" s="163"/>
      <c r="C4" s="163"/>
      <c r="D4" s="163"/>
      <c r="E4" s="163"/>
      <c r="F4" s="163"/>
      <c r="G4" s="163"/>
      <c r="H4" s="163"/>
      <c r="I4" s="163"/>
      <c r="J4" s="163"/>
      <c r="K4" s="164"/>
    </row>
    <row r="5" spans="1:66" s="19" customFormat="1" ht="20.5" x14ac:dyDescent="0.45">
      <c r="A5" s="78"/>
      <c r="B5" s="78"/>
      <c r="C5" s="78"/>
      <c r="D5" s="78"/>
      <c r="E5" s="112" t="s">
        <v>78</v>
      </c>
      <c r="F5" s="237"/>
      <c r="G5" s="238"/>
      <c r="H5" s="238"/>
      <c r="I5" s="238"/>
      <c r="J5" s="238"/>
      <c r="K5" s="239"/>
      <c r="L5" s="13"/>
      <c r="M5" s="13"/>
    </row>
    <row r="6" spans="1:66" s="19" customFormat="1" ht="20.5" x14ac:dyDescent="0.45">
      <c r="A6" s="78"/>
      <c r="B6" s="78"/>
      <c r="C6" s="78"/>
      <c r="D6" s="78"/>
      <c r="E6" s="79" t="s">
        <v>19</v>
      </c>
      <c r="F6" s="240"/>
      <c r="G6" s="240"/>
      <c r="H6" s="240"/>
      <c r="I6" s="240"/>
      <c r="J6" s="240"/>
      <c r="K6" s="240"/>
      <c r="L6" s="13"/>
      <c r="M6" s="13"/>
    </row>
    <row r="7" spans="1:66" s="19" customFormat="1" ht="19.5" customHeight="1" x14ac:dyDescent="0.3">
      <c r="A7" s="73"/>
      <c r="B7" s="76"/>
      <c r="C7" s="76"/>
      <c r="D7" s="76"/>
      <c r="E7" s="79" t="s">
        <v>16</v>
      </c>
      <c r="F7" s="241"/>
      <c r="G7" s="241"/>
      <c r="H7" s="241"/>
      <c r="I7" s="241"/>
      <c r="J7" s="241"/>
      <c r="K7" s="241"/>
      <c r="L7" s="13"/>
      <c r="M7" s="13"/>
      <c r="N7" s="13"/>
      <c r="O7" s="13"/>
      <c r="P7" s="13"/>
      <c r="Q7" s="13"/>
      <c r="R7" s="13"/>
      <c r="S7" s="13"/>
      <c r="T7" s="13"/>
      <c r="U7" s="13"/>
      <c r="V7" s="13"/>
      <c r="W7" s="13"/>
      <c r="X7" s="13"/>
      <c r="AE7" s="80"/>
      <c r="AF7" s="80"/>
      <c r="AG7" s="80"/>
      <c r="AH7" s="80"/>
      <c r="AI7" s="80"/>
      <c r="AJ7" s="80"/>
      <c r="AK7" s="80"/>
      <c r="AL7" s="80"/>
      <c r="AM7" s="80"/>
      <c r="AN7" s="80"/>
      <c r="AO7" s="80"/>
      <c r="AP7" s="80"/>
      <c r="AQ7" s="80"/>
      <c r="AR7" s="80"/>
      <c r="AS7" s="81"/>
      <c r="AT7" s="82"/>
      <c r="AU7" s="82"/>
      <c r="AV7" s="80"/>
      <c r="AW7" s="80"/>
      <c r="AX7" s="81"/>
      <c r="AY7" s="83"/>
      <c r="AZ7" s="84"/>
      <c r="BA7" s="83"/>
      <c r="BB7" s="84"/>
      <c r="BC7" s="83"/>
      <c r="BD7" s="84"/>
      <c r="BE7" s="83"/>
      <c r="BF7" s="84"/>
      <c r="BG7" s="83"/>
      <c r="BH7" s="84"/>
      <c r="BI7" s="83"/>
      <c r="BJ7" s="84"/>
      <c r="BL7" s="85"/>
      <c r="BM7" s="85"/>
      <c r="BN7" s="85"/>
    </row>
    <row r="8" spans="1:66" s="19" customFormat="1" ht="13.5" customHeight="1" x14ac:dyDescent="0.3">
      <c r="A8" s="236" t="s">
        <v>9</v>
      </c>
      <c r="B8" s="243" t="s">
        <v>2</v>
      </c>
      <c r="C8" s="243" t="s">
        <v>0</v>
      </c>
      <c r="D8" s="243" t="s">
        <v>11</v>
      </c>
      <c r="E8" s="244" t="s">
        <v>3</v>
      </c>
      <c r="F8" s="244"/>
      <c r="G8" s="236" t="s">
        <v>12</v>
      </c>
      <c r="H8" s="236" t="s">
        <v>38</v>
      </c>
      <c r="I8" s="236" t="s">
        <v>13</v>
      </c>
      <c r="J8" s="236" t="s">
        <v>5</v>
      </c>
      <c r="K8" s="236" t="s">
        <v>62</v>
      </c>
      <c r="L8" s="13"/>
      <c r="M8" s="13"/>
      <c r="N8" s="13"/>
      <c r="O8" s="13"/>
      <c r="P8" s="13"/>
      <c r="Q8" s="13"/>
      <c r="R8" s="13"/>
      <c r="S8" s="13"/>
      <c r="T8" s="13"/>
      <c r="U8" s="13"/>
      <c r="V8" s="13"/>
      <c r="W8" s="13"/>
      <c r="X8" s="13"/>
      <c r="AE8" s="85" t="s">
        <v>25</v>
      </c>
      <c r="AF8" s="85" t="s">
        <v>4</v>
      </c>
      <c r="AG8" s="85" t="s">
        <v>25</v>
      </c>
      <c r="AH8" s="85" t="s">
        <v>4</v>
      </c>
      <c r="AI8" s="85" t="s">
        <v>25</v>
      </c>
      <c r="AJ8" s="85" t="s">
        <v>4</v>
      </c>
      <c r="AK8" s="85" t="s">
        <v>25</v>
      </c>
      <c r="AL8" s="85" t="s">
        <v>4</v>
      </c>
      <c r="AM8" s="85" t="s">
        <v>25</v>
      </c>
      <c r="AN8" s="85" t="s">
        <v>4</v>
      </c>
      <c r="AO8" s="85" t="s">
        <v>25</v>
      </c>
      <c r="AP8" s="85" t="s">
        <v>4</v>
      </c>
      <c r="AQ8" s="85" t="s">
        <v>25</v>
      </c>
      <c r="AR8" s="85" t="s">
        <v>4</v>
      </c>
      <c r="AS8" s="86"/>
      <c r="AT8" s="85" t="s">
        <v>25</v>
      </c>
      <c r="AU8" s="85" t="s">
        <v>4</v>
      </c>
      <c r="AV8" s="85" t="s">
        <v>25</v>
      </c>
      <c r="AW8" s="85" t="s">
        <v>4</v>
      </c>
      <c r="AX8" s="86"/>
      <c r="AY8" s="85" t="s">
        <v>44</v>
      </c>
      <c r="AZ8" s="85" t="s">
        <v>37</v>
      </c>
      <c r="BA8" s="85" t="s">
        <v>44</v>
      </c>
      <c r="BB8" s="85" t="s">
        <v>37</v>
      </c>
      <c r="BC8" s="85" t="s">
        <v>44</v>
      </c>
      <c r="BD8" s="85" t="s">
        <v>37</v>
      </c>
      <c r="BE8" s="85" t="s">
        <v>44</v>
      </c>
      <c r="BF8" s="85" t="s">
        <v>37</v>
      </c>
      <c r="BG8" s="85" t="s">
        <v>44</v>
      </c>
      <c r="BH8" s="85" t="s">
        <v>37</v>
      </c>
      <c r="BI8" s="85" t="s">
        <v>44</v>
      </c>
      <c r="BJ8" s="85" t="s">
        <v>37</v>
      </c>
      <c r="BL8" s="87"/>
      <c r="BM8" s="87"/>
      <c r="BN8" s="87"/>
    </row>
    <row r="9" spans="1:66" s="90" customFormat="1" ht="19.5" customHeight="1" x14ac:dyDescent="0.3">
      <c r="A9" s="236"/>
      <c r="B9" s="243"/>
      <c r="C9" s="243"/>
      <c r="D9" s="243"/>
      <c r="E9" s="89" t="s">
        <v>8</v>
      </c>
      <c r="F9" s="88" t="s">
        <v>35</v>
      </c>
      <c r="G9" s="236"/>
      <c r="H9" s="236"/>
      <c r="I9" s="236"/>
      <c r="J9" s="236"/>
      <c r="K9" s="236"/>
      <c r="L9" s="13"/>
      <c r="M9" s="13"/>
      <c r="N9" s="13"/>
      <c r="O9" s="13"/>
      <c r="P9" s="13"/>
      <c r="Q9" s="13"/>
      <c r="R9" s="13"/>
      <c r="S9" s="13"/>
      <c r="T9" s="13"/>
      <c r="U9" s="13"/>
      <c r="V9" s="13"/>
      <c r="W9" s="13"/>
      <c r="X9" s="13"/>
      <c r="Z9" s="90" t="s">
        <v>6</v>
      </c>
      <c r="AA9" s="90" t="s">
        <v>17</v>
      </c>
      <c r="AB9" s="90" t="s">
        <v>14</v>
      </c>
      <c r="AD9" s="91" t="s">
        <v>29</v>
      </c>
      <c r="AE9" s="92">
        <f t="shared" ref="AE9:AR9" si="0">SUM(AE11:AE140)</f>
        <v>0</v>
      </c>
      <c r="AF9" s="92">
        <f t="shared" si="0"/>
        <v>0</v>
      </c>
      <c r="AG9" s="92">
        <f t="shared" si="0"/>
        <v>0</v>
      </c>
      <c r="AH9" s="92">
        <f t="shared" si="0"/>
        <v>0</v>
      </c>
      <c r="AI9" s="92">
        <f t="shared" si="0"/>
        <v>0</v>
      </c>
      <c r="AJ9" s="92">
        <f t="shared" si="0"/>
        <v>0</v>
      </c>
      <c r="AK9" s="92">
        <f t="shared" si="0"/>
        <v>0</v>
      </c>
      <c r="AL9" s="92">
        <f t="shared" si="0"/>
        <v>0</v>
      </c>
      <c r="AM9" s="92">
        <f t="shared" si="0"/>
        <v>0</v>
      </c>
      <c r="AN9" s="92">
        <f t="shared" si="0"/>
        <v>0</v>
      </c>
      <c r="AO9" s="92">
        <f t="shared" si="0"/>
        <v>0</v>
      </c>
      <c r="AP9" s="92">
        <f t="shared" si="0"/>
        <v>0</v>
      </c>
      <c r="AQ9" s="92">
        <f t="shared" si="0"/>
        <v>0</v>
      </c>
      <c r="AR9" s="92">
        <f t="shared" si="0"/>
        <v>0</v>
      </c>
      <c r="AT9" s="92">
        <f>SUM(AT11:AT140)</f>
        <v>0</v>
      </c>
      <c r="AU9" s="92">
        <f>SUM(AU11:AU140)</f>
        <v>0</v>
      </c>
      <c r="AV9" s="92">
        <f>SUM(AV11:AV140)</f>
        <v>0</v>
      </c>
      <c r="AW9" s="92">
        <f>SUM(AW11:AW140)</f>
        <v>0</v>
      </c>
      <c r="AY9" s="92">
        <f t="shared" ref="AY9:BJ9" si="1">SUM(AY11:AY140)</f>
        <v>0</v>
      </c>
      <c r="AZ9" s="92">
        <f t="shared" si="1"/>
        <v>0</v>
      </c>
      <c r="BA9" s="92">
        <f t="shared" si="1"/>
        <v>0</v>
      </c>
      <c r="BB9" s="92">
        <f t="shared" si="1"/>
        <v>0</v>
      </c>
      <c r="BC9" s="92">
        <f t="shared" si="1"/>
        <v>0</v>
      </c>
      <c r="BD9" s="92">
        <f t="shared" si="1"/>
        <v>0</v>
      </c>
      <c r="BE9" s="92">
        <f t="shared" si="1"/>
        <v>0</v>
      </c>
      <c r="BF9" s="92">
        <f t="shared" si="1"/>
        <v>0</v>
      </c>
      <c r="BG9" s="92">
        <f t="shared" si="1"/>
        <v>0</v>
      </c>
      <c r="BH9" s="92">
        <f t="shared" si="1"/>
        <v>0</v>
      </c>
      <c r="BI9" s="92">
        <f t="shared" si="1"/>
        <v>0</v>
      </c>
      <c r="BJ9" s="92">
        <f t="shared" si="1"/>
        <v>0</v>
      </c>
      <c r="BL9" s="92">
        <f>SUM(BL10:BL139)</f>
        <v>0</v>
      </c>
      <c r="BM9" s="92">
        <f>SUM(BM10:BM139)</f>
        <v>0</v>
      </c>
      <c r="BN9" s="92">
        <f>SUM(BN10:BN139)</f>
        <v>0</v>
      </c>
    </row>
    <row r="10" spans="1:66" s="90" customFormat="1" ht="19.5" customHeight="1" x14ac:dyDescent="0.3">
      <c r="A10" s="236"/>
      <c r="B10" s="236"/>
      <c r="C10" s="236"/>
      <c r="D10" s="88" t="s">
        <v>81</v>
      </c>
      <c r="E10" s="111">
        <f>SUM(E11:E140)</f>
        <v>0</v>
      </c>
      <c r="F10" s="89">
        <f>SUM(F11:F140)</f>
        <v>0</v>
      </c>
      <c r="G10" s="242" t="s">
        <v>98</v>
      </c>
      <c r="H10" s="242"/>
      <c r="I10" s="242"/>
      <c r="J10" s="242"/>
      <c r="K10" s="242"/>
      <c r="L10" s="13"/>
      <c r="M10" s="13"/>
      <c r="N10" s="13"/>
      <c r="O10" s="13"/>
      <c r="P10" s="13"/>
      <c r="Q10" s="13"/>
      <c r="R10" s="13"/>
      <c r="S10" s="13"/>
      <c r="T10" s="13"/>
      <c r="U10" s="13"/>
      <c r="V10" s="13"/>
      <c r="W10" s="13"/>
      <c r="X10" s="13"/>
      <c r="AD10" s="93"/>
      <c r="AE10" s="94"/>
      <c r="AF10" s="94"/>
      <c r="AG10" s="94"/>
      <c r="AH10" s="94"/>
      <c r="AI10" s="94"/>
      <c r="AJ10" s="94"/>
      <c r="AK10" s="94"/>
      <c r="AL10" s="94"/>
      <c r="AM10" s="94"/>
      <c r="AN10" s="94"/>
      <c r="AO10" s="94"/>
      <c r="AP10" s="94"/>
      <c r="AQ10" s="94"/>
      <c r="AR10" s="94"/>
      <c r="AT10" s="94"/>
      <c r="AU10" s="94"/>
      <c r="AV10" s="94"/>
      <c r="AW10" s="94"/>
      <c r="AY10" s="94"/>
      <c r="AZ10" s="94"/>
      <c r="BA10" s="94"/>
      <c r="BB10" s="94"/>
      <c r="BC10" s="94"/>
      <c r="BD10" s="94"/>
      <c r="BE10" s="94"/>
      <c r="BF10" s="94"/>
      <c r="BG10" s="94"/>
      <c r="BH10" s="94"/>
      <c r="BI10" s="94"/>
      <c r="BJ10" s="94"/>
      <c r="BL10" s="95"/>
      <c r="BM10" s="95"/>
      <c r="BN10" s="95"/>
    </row>
    <row r="11" spans="1:66" s="90" customFormat="1" ht="16.5" customHeight="1" x14ac:dyDescent="0.3">
      <c r="A11" s="105">
        <v>1</v>
      </c>
      <c r="B11" s="108"/>
      <c r="C11" s="85"/>
      <c r="D11" s="157"/>
      <c r="E11" s="107"/>
      <c r="F11" s="108"/>
      <c r="G11" s="114"/>
      <c r="H11" s="108"/>
      <c r="I11" s="107"/>
      <c r="J11" s="107"/>
      <c r="K11" s="107"/>
      <c r="L11" s="13"/>
      <c r="M11" s="13"/>
      <c r="N11" s="13"/>
      <c r="O11" s="13"/>
      <c r="P11" s="13"/>
      <c r="Q11" s="13"/>
      <c r="R11" s="13"/>
      <c r="S11" s="13"/>
      <c r="T11" s="13"/>
      <c r="U11" s="13"/>
      <c r="V11" s="13"/>
      <c r="W11" s="13"/>
      <c r="X11" s="13"/>
      <c r="Z11" s="86" t="s">
        <v>18</v>
      </c>
      <c r="AA11" s="103" t="s">
        <v>227</v>
      </c>
      <c r="AE11" s="103">
        <f>IF($C11=$Z$11,$E11,0)</f>
        <v>0</v>
      </c>
      <c r="AF11" s="103">
        <f t="shared" ref="AF11:AF76" si="2">IF($C11=$Z$11,$F11,0)</f>
        <v>0</v>
      </c>
      <c r="AG11" s="103">
        <f t="shared" ref="AG11:AG76" si="3">IF($C11=$Z$12,$E11,0)</f>
        <v>0</v>
      </c>
      <c r="AH11" s="103">
        <f t="shared" ref="AH11:AH76" si="4">IF($C11=$Z$12,$F11,0)</f>
        <v>0</v>
      </c>
      <c r="AI11" s="103">
        <f t="shared" ref="AI11:AI76" si="5">IF($C11=$Z$13,$E11,0)</f>
        <v>0</v>
      </c>
      <c r="AJ11" s="103">
        <f t="shared" ref="AJ11:AJ76" si="6">IF($C11=$Z$13,$F11,0)</f>
        <v>0</v>
      </c>
      <c r="AK11" s="103">
        <f t="shared" ref="AK11:AK76" si="7">IF($C11=$Z$14,$E11,0)</f>
        <v>0</v>
      </c>
      <c r="AL11" s="103">
        <f t="shared" ref="AL11:AL76" si="8">IF($C11=$Z$14,$F11,0)</f>
        <v>0</v>
      </c>
      <c r="AM11" s="103">
        <f t="shared" ref="AM11:AM76" si="9">IF($C11=$Z$15,$E11,0)</f>
        <v>0</v>
      </c>
      <c r="AN11" s="103">
        <f t="shared" ref="AN11:AN76" si="10">IF($C11=$Z$15,$F11,0)</f>
        <v>0</v>
      </c>
      <c r="AO11" s="103">
        <f t="shared" ref="AO11:AO76" si="11">IF($C11=$Z$16,$E11,0)</f>
        <v>0</v>
      </c>
      <c r="AP11" s="103">
        <f t="shared" ref="AP11:AP76" si="12">IF($C11=$Z$16,$F11,0)</f>
        <v>0</v>
      </c>
      <c r="AQ11" s="103">
        <f t="shared" ref="AQ11:AQ76" si="13">IF($C11=$Z$17,$E11,0)</f>
        <v>0</v>
      </c>
      <c r="AR11" s="103">
        <f t="shared" ref="AR11:AR76" si="14">IF($C11=$Z$17,$F11,0)</f>
        <v>0</v>
      </c>
      <c r="AS11" s="103"/>
      <c r="AT11" s="103">
        <f>IF(OR($G11=$AA$11,$G11=$AA$13,($G11=$AA$14),$G11=$AA$15),$AE11+$AG11+$AI11+$AK11+$AQ11,0)</f>
        <v>0</v>
      </c>
      <c r="AU11" s="103">
        <f>IF(OR($G11=$AA$11,$G11=$AA$13,($G11=$AA$14),$G11=$AA$15),$AF11+$AH11+$AJ11+AL11+AR11,0)</f>
        <v>0</v>
      </c>
      <c r="AV11" s="103">
        <f>IF($G11=$AA$12,$AE11+$AG11+$AI11+$AK11+$AQ11,0)</f>
        <v>0</v>
      </c>
      <c r="AW11" s="103">
        <f>IF($G11=$AA$12,$AF11+$AH11+$AJ11+$AL11+$AR11,0)</f>
        <v>0</v>
      </c>
      <c r="AX11" s="103"/>
      <c r="AY11" s="104">
        <f>IF(UPPER($I11) =$AB$12,IF($G11=$AA$12,$AV11,0),0)</f>
        <v>0</v>
      </c>
      <c r="AZ11" s="104">
        <f>IF(UPPER($I11) =$AB$12,IF($G11&lt;&gt;$AA$12,$AT11,0),0)</f>
        <v>0</v>
      </c>
      <c r="BA11" s="104">
        <f>IF(UPPER($I11) =$AB$12,IF($G11=$AA$12,$AW11,0),0)</f>
        <v>0</v>
      </c>
      <c r="BB11" s="104">
        <f>IF(UPPER($I11) =$AB$12,IF($G11&lt;&gt;$AA$12,$AU11,0),0)</f>
        <v>0</v>
      </c>
      <c r="BC11" s="104">
        <f>IF(UPPER($J11) =$AB$12,IF($G11=$AA$12,$AV11,0),0)</f>
        <v>0</v>
      </c>
      <c r="BD11" s="104">
        <f>IF(UPPER($J11) =$AB$12,IF($G11&lt;&gt;$AA$12,$AT11,0),0)</f>
        <v>0</v>
      </c>
      <c r="BE11" s="104">
        <f>IF(UPPER($J11) =$AB$12,IF($G11=$AA$12,$AW11,0),0)</f>
        <v>0</v>
      </c>
      <c r="BF11" s="104">
        <f>IF(UPPER($J11) =$AB$12,IF($G11&lt;&gt;$AA$12,$AU11,0),0)</f>
        <v>0</v>
      </c>
      <c r="BG11" s="104">
        <f>IF(UPPER($K11) =$AB$12,IF($G11=$AA$12,$AV11,0),0)</f>
        <v>0</v>
      </c>
      <c r="BH11" s="104">
        <f>IF(UPPER($K11) =$AB$12,IF($G11&lt;&gt;$AA$12,$AT11,0),0)</f>
        <v>0</v>
      </c>
      <c r="BI11" s="104">
        <f>IF(UPPER($K11) =$AB$12,IF($G11=$AA$12,$AW11,0),0)</f>
        <v>0</v>
      </c>
      <c r="BJ11" s="104">
        <f>IF(UPPER($K11) =$AB$12,IF($G11&lt;&gt;$AA$12,$AU11,0),0)</f>
        <v>0</v>
      </c>
      <c r="BK11" s="19"/>
      <c r="BL11" s="104">
        <f>IF(($E11+$F11&gt;0), IF($G11=$AA$10,1,0),0)</f>
        <v>0</v>
      </c>
      <c r="BM11" s="104">
        <f>IF(($E11+$F11&lt;=0), IF($G11&lt;&gt;$AA$10,1,0),0)</f>
        <v>0</v>
      </c>
      <c r="BN11" s="104">
        <f>IF(($E11+$F11&gt;0), IF($C11=$AA$10,1,0),0)</f>
        <v>0</v>
      </c>
    </row>
    <row r="12" spans="1:66" s="155" customFormat="1" ht="13" x14ac:dyDescent="0.3">
      <c r="A12" s="152">
        <v>2</v>
      </c>
      <c r="B12" s="108"/>
      <c r="C12" s="85"/>
      <c r="D12" s="106"/>
      <c r="E12" s="107"/>
      <c r="F12" s="108"/>
      <c r="G12" s="114"/>
      <c r="H12" s="108"/>
      <c r="I12" s="153"/>
      <c r="J12" s="153"/>
      <c r="K12" s="154"/>
      <c r="L12" s="59"/>
      <c r="M12" s="59"/>
      <c r="N12" s="59"/>
      <c r="O12" s="59"/>
      <c r="P12" s="59"/>
      <c r="Q12" s="59"/>
      <c r="R12" s="59"/>
      <c r="S12" s="59"/>
      <c r="T12" s="59"/>
      <c r="U12" s="59"/>
      <c r="V12" s="59"/>
      <c r="W12" s="59"/>
      <c r="X12" s="59"/>
      <c r="Z12" s="103" t="s">
        <v>1</v>
      </c>
      <c r="AA12" s="103" t="s">
        <v>10</v>
      </c>
      <c r="AB12" s="103" t="s">
        <v>15</v>
      </c>
      <c r="AC12" s="103"/>
      <c r="AE12" s="103">
        <f t="shared" ref="AE12:AE77" si="15">IF($C12=$Z$11,$E12,0)</f>
        <v>0</v>
      </c>
      <c r="AF12" s="103">
        <f t="shared" si="2"/>
        <v>0</v>
      </c>
      <c r="AG12" s="103">
        <f t="shared" si="3"/>
        <v>0</v>
      </c>
      <c r="AH12" s="103">
        <f t="shared" si="4"/>
        <v>0</v>
      </c>
      <c r="AI12" s="103">
        <f>IF($C12=$Z$13,$E12,0)</f>
        <v>0</v>
      </c>
      <c r="AJ12" s="103">
        <f>IF($C12=$Z$13,$F12,0)</f>
        <v>0</v>
      </c>
      <c r="AK12" s="103">
        <f t="shared" si="7"/>
        <v>0</v>
      </c>
      <c r="AL12" s="103">
        <f>IF($C12=$Z$14,$F12,0)</f>
        <v>0</v>
      </c>
      <c r="AM12" s="103">
        <f t="shared" si="9"/>
        <v>0</v>
      </c>
      <c r="AN12" s="103">
        <f t="shared" si="10"/>
        <v>0</v>
      </c>
      <c r="AO12" s="103">
        <f t="shared" si="11"/>
        <v>0</v>
      </c>
      <c r="AP12" s="103">
        <f t="shared" si="12"/>
        <v>0</v>
      </c>
      <c r="AQ12" s="103">
        <f t="shared" si="13"/>
        <v>0</v>
      </c>
      <c r="AR12" s="103">
        <f t="shared" si="14"/>
        <v>0</v>
      </c>
      <c r="AS12" s="103"/>
      <c r="AT12" s="103">
        <f t="shared" ref="AT12:AT75" si="16">IF(OR($G12=$AA$11,$G12=$AA$13,($G12=$AA$14),$G12=$AA$15),$AE12+$AG12+$AI12+$AK12+$AQ12,0)</f>
        <v>0</v>
      </c>
      <c r="AU12" s="103">
        <f>IF(OR($G12=$AA$11,$G12=$AA$13,($G12=$AA$14),$G12=$AA$15),$AF12+$AH12+$AJ12+AL12+AR12,0)</f>
        <v>0</v>
      </c>
      <c r="AV12" s="103">
        <f t="shared" ref="AV12:AV77" si="17">IF($G12=$AA$12,$AE12+$AG12+$AI12+AK12+AQ12,0)</f>
        <v>0</v>
      </c>
      <c r="AW12" s="103">
        <f t="shared" ref="AW12:AW77" si="18">IF($G12=$AA$12,$AF12+$AH12+$AJ12+AL12+AR12,0)</f>
        <v>0</v>
      </c>
      <c r="AX12" s="103"/>
      <c r="AY12" s="104">
        <f t="shared" ref="AY12:AY77" si="19">IF(UPPER($I12) =$AB$12,IF($G12=$AA$12,$AV12,0),0)</f>
        <v>0</v>
      </c>
      <c r="AZ12" s="104">
        <f t="shared" ref="AZ12:AZ77" si="20">IF(UPPER($I12) =$AB$12,IF($G12&lt;&gt;$AA$12,$AT12,0),0)</f>
        <v>0</v>
      </c>
      <c r="BA12" s="104">
        <f t="shared" ref="BA12:BA77" si="21">IF(UPPER($I12) =$AB$12,IF($G12=$AA$12,$AW12,0),0)</f>
        <v>0</v>
      </c>
      <c r="BB12" s="104">
        <f t="shared" ref="BB12:BB77" si="22">IF(UPPER($I12) =$AB$12,IF($G12&lt;&gt;$AA$12,$AU12,0),0)</f>
        <v>0</v>
      </c>
      <c r="BC12" s="104">
        <f t="shared" ref="BC12:BC77" si="23">IF(UPPER($J12) =$AB$12,IF($G12=$AA$12,$AV12,0),0)</f>
        <v>0</v>
      </c>
      <c r="BD12" s="104">
        <f t="shared" ref="BD12:BD77" si="24">IF(UPPER($J12) =$AB$12,IF($G12&lt;&gt;$AA$12,$AT12,0),0)</f>
        <v>0</v>
      </c>
      <c r="BE12" s="104">
        <f t="shared" ref="BE12:BE77" si="25">IF(UPPER($J12) =$AB$12,IF($G12=$AA$12,$AW12,0),0)</f>
        <v>0</v>
      </c>
      <c r="BF12" s="104">
        <f t="shared" ref="BF12:BF77" si="26">IF(UPPER($J12) =$AB$12,IF($G12&lt;&gt;$AA$12,$AU12,0),0)</f>
        <v>0</v>
      </c>
      <c r="BG12" s="104">
        <f t="shared" ref="BG12:BG77" si="27">IF(UPPER($K12) =$AB$12,IF($G12=$AA$12,$AV12,0),0)</f>
        <v>0</v>
      </c>
      <c r="BH12" s="104">
        <f t="shared" ref="BH12:BH77" si="28">IF(UPPER($K12) =$AB$12,IF($G12&lt;&gt;$AA$12,$AT12,0),0)</f>
        <v>0</v>
      </c>
      <c r="BI12" s="104">
        <f t="shared" ref="BI12:BI77" si="29">IF(UPPER($K12) =$AB$12,IF($G12=$AA$12,$AW12,0),0)</f>
        <v>0</v>
      </c>
      <c r="BJ12" s="104">
        <f t="shared" ref="BJ12:BJ77" si="30">IF(UPPER($K12) =$AB$12,IF($G12&lt;&gt;$AA$12,$AU12,0),0)</f>
        <v>0</v>
      </c>
      <c r="BL12" s="104">
        <f t="shared" ref="BL12:BL77" si="31">IF(($E12+$F12&gt;0), IF($G12=$AA$10,1,0),0)</f>
        <v>0</v>
      </c>
      <c r="BM12" s="104">
        <f t="shared" ref="BM12:BM77" si="32">IF(($E12+$F12&lt;=0), IF($G12&lt;&gt;$AA$10,1,0),0)</f>
        <v>0</v>
      </c>
      <c r="BN12" s="104">
        <f t="shared" ref="BN12:BN77" si="33">IF(($E12+$F12&gt;0), IF($C12=$AA$10,1,0),0)</f>
        <v>0</v>
      </c>
    </row>
    <row r="13" spans="1:66" s="155" customFormat="1" ht="13" x14ac:dyDescent="0.3">
      <c r="A13" s="152">
        <v>3</v>
      </c>
      <c r="B13" s="108"/>
      <c r="C13" s="85"/>
      <c r="D13" s="106"/>
      <c r="E13" s="107"/>
      <c r="F13" s="108"/>
      <c r="G13" s="114"/>
      <c r="H13" s="108"/>
      <c r="I13" s="153"/>
      <c r="J13" s="153"/>
      <c r="K13" s="156"/>
      <c r="L13" s="59"/>
      <c r="M13" s="59"/>
      <c r="N13" s="59"/>
      <c r="O13" s="59"/>
      <c r="P13" s="59"/>
      <c r="Q13" s="59"/>
      <c r="R13" s="59"/>
      <c r="S13" s="59"/>
      <c r="T13" s="59"/>
      <c r="U13" s="59"/>
      <c r="V13" s="59"/>
      <c r="W13" s="59"/>
      <c r="X13" s="59"/>
      <c r="Z13" s="103" t="s">
        <v>7</v>
      </c>
      <c r="AA13" s="103" t="s">
        <v>48</v>
      </c>
      <c r="AE13" s="103">
        <f t="shared" si="15"/>
        <v>0</v>
      </c>
      <c r="AF13" s="103">
        <f t="shared" si="2"/>
        <v>0</v>
      </c>
      <c r="AG13" s="103">
        <f t="shared" si="3"/>
        <v>0</v>
      </c>
      <c r="AH13" s="103">
        <f t="shared" si="4"/>
        <v>0</v>
      </c>
      <c r="AI13" s="103">
        <f t="shared" si="5"/>
        <v>0</v>
      </c>
      <c r="AJ13" s="103">
        <f t="shared" si="6"/>
        <v>0</v>
      </c>
      <c r="AK13" s="103">
        <f t="shared" si="7"/>
        <v>0</v>
      </c>
      <c r="AL13" s="103">
        <f t="shared" si="8"/>
        <v>0</v>
      </c>
      <c r="AM13" s="103">
        <f t="shared" si="9"/>
        <v>0</v>
      </c>
      <c r="AN13" s="103">
        <f t="shared" si="10"/>
        <v>0</v>
      </c>
      <c r="AO13" s="103">
        <f t="shared" si="11"/>
        <v>0</v>
      </c>
      <c r="AP13" s="103">
        <f t="shared" si="12"/>
        <v>0</v>
      </c>
      <c r="AQ13" s="103">
        <f t="shared" si="13"/>
        <v>0</v>
      </c>
      <c r="AR13" s="103">
        <f t="shared" si="14"/>
        <v>0</v>
      </c>
      <c r="AS13" s="103"/>
      <c r="AT13" s="103">
        <f t="shared" si="16"/>
        <v>0</v>
      </c>
      <c r="AU13" s="103">
        <f t="shared" ref="AU13:AU76" si="34">IF(OR($G13=$AA$11,$G13=$AA$13,($G13=$AA$14),$G13=$AA$15),$AF13+$AH13+$AJ13+AL13+AR13,0)</f>
        <v>0</v>
      </c>
      <c r="AV13" s="103">
        <f t="shared" si="17"/>
        <v>0</v>
      </c>
      <c r="AW13" s="103">
        <f t="shared" si="18"/>
        <v>0</v>
      </c>
      <c r="AX13" s="103"/>
      <c r="AY13" s="104">
        <f t="shared" si="19"/>
        <v>0</v>
      </c>
      <c r="AZ13" s="104">
        <f t="shared" si="20"/>
        <v>0</v>
      </c>
      <c r="BA13" s="104">
        <f t="shared" si="21"/>
        <v>0</v>
      </c>
      <c r="BB13" s="104">
        <f t="shared" si="22"/>
        <v>0</v>
      </c>
      <c r="BC13" s="104">
        <f t="shared" si="23"/>
        <v>0</v>
      </c>
      <c r="BD13" s="104">
        <f t="shared" si="24"/>
        <v>0</v>
      </c>
      <c r="BE13" s="104">
        <f t="shared" si="25"/>
        <v>0</v>
      </c>
      <c r="BF13" s="104">
        <f t="shared" si="26"/>
        <v>0</v>
      </c>
      <c r="BG13" s="104">
        <f t="shared" si="27"/>
        <v>0</v>
      </c>
      <c r="BH13" s="104">
        <f t="shared" si="28"/>
        <v>0</v>
      </c>
      <c r="BI13" s="104">
        <f t="shared" si="29"/>
        <v>0</v>
      </c>
      <c r="BJ13" s="104">
        <f t="shared" si="30"/>
        <v>0</v>
      </c>
      <c r="BL13" s="104">
        <f t="shared" si="31"/>
        <v>0</v>
      </c>
      <c r="BM13" s="104">
        <f t="shared" si="32"/>
        <v>0</v>
      </c>
      <c r="BN13" s="104">
        <f t="shared" si="33"/>
        <v>0</v>
      </c>
    </row>
    <row r="14" spans="1:66" s="19" customFormat="1" ht="13" x14ac:dyDescent="0.3">
      <c r="A14" s="105">
        <v>4</v>
      </c>
      <c r="B14" s="108"/>
      <c r="C14" s="85"/>
      <c r="D14" s="106"/>
      <c r="E14" s="107"/>
      <c r="F14" s="108"/>
      <c r="G14" s="114"/>
      <c r="H14" s="108"/>
      <c r="I14" s="107"/>
      <c r="J14" s="107"/>
      <c r="K14" s="107"/>
      <c r="L14" s="13"/>
      <c r="M14" s="13"/>
      <c r="N14" s="13"/>
      <c r="O14" s="13"/>
      <c r="P14" s="13"/>
      <c r="Q14" s="13"/>
      <c r="R14" s="13"/>
      <c r="S14" s="13"/>
      <c r="T14" s="13"/>
      <c r="U14" s="13"/>
      <c r="V14" s="13"/>
      <c r="W14" s="13"/>
      <c r="X14" s="13"/>
      <c r="Z14" s="86" t="s">
        <v>21</v>
      </c>
      <c r="AA14" s="86" t="s">
        <v>49</v>
      </c>
      <c r="AE14" s="103">
        <f t="shared" si="15"/>
        <v>0</v>
      </c>
      <c r="AF14" s="103">
        <f t="shared" si="2"/>
        <v>0</v>
      </c>
      <c r="AG14" s="103">
        <f t="shared" si="3"/>
        <v>0</v>
      </c>
      <c r="AH14" s="103">
        <f t="shared" si="4"/>
        <v>0</v>
      </c>
      <c r="AI14" s="103">
        <f t="shared" si="5"/>
        <v>0</v>
      </c>
      <c r="AJ14" s="103">
        <f t="shared" si="6"/>
        <v>0</v>
      </c>
      <c r="AK14" s="103">
        <f t="shared" si="7"/>
        <v>0</v>
      </c>
      <c r="AL14" s="103">
        <f t="shared" si="8"/>
        <v>0</v>
      </c>
      <c r="AM14" s="103">
        <f t="shared" si="9"/>
        <v>0</v>
      </c>
      <c r="AN14" s="103">
        <f t="shared" si="10"/>
        <v>0</v>
      </c>
      <c r="AO14" s="103">
        <f t="shared" si="11"/>
        <v>0</v>
      </c>
      <c r="AP14" s="103">
        <f t="shared" si="12"/>
        <v>0</v>
      </c>
      <c r="AQ14" s="103">
        <f t="shared" si="13"/>
        <v>0</v>
      </c>
      <c r="AR14" s="103">
        <f t="shared" si="14"/>
        <v>0</v>
      </c>
      <c r="AS14" s="103"/>
      <c r="AT14" s="103">
        <f t="shared" si="16"/>
        <v>0</v>
      </c>
      <c r="AU14" s="103">
        <f t="shared" si="34"/>
        <v>0</v>
      </c>
      <c r="AV14" s="103">
        <f t="shared" si="17"/>
        <v>0</v>
      </c>
      <c r="AW14" s="103">
        <f t="shared" si="18"/>
        <v>0</v>
      </c>
      <c r="AX14" s="103"/>
      <c r="AY14" s="104">
        <f t="shared" si="19"/>
        <v>0</v>
      </c>
      <c r="AZ14" s="104">
        <f t="shared" si="20"/>
        <v>0</v>
      </c>
      <c r="BA14" s="104">
        <f t="shared" si="21"/>
        <v>0</v>
      </c>
      <c r="BB14" s="104">
        <f t="shared" si="22"/>
        <v>0</v>
      </c>
      <c r="BC14" s="104">
        <f t="shared" si="23"/>
        <v>0</v>
      </c>
      <c r="BD14" s="104">
        <f t="shared" si="24"/>
        <v>0</v>
      </c>
      <c r="BE14" s="104">
        <f t="shared" si="25"/>
        <v>0</v>
      </c>
      <c r="BF14" s="104">
        <f t="shared" si="26"/>
        <v>0</v>
      </c>
      <c r="BG14" s="104">
        <f t="shared" si="27"/>
        <v>0</v>
      </c>
      <c r="BH14" s="104">
        <f t="shared" si="28"/>
        <v>0</v>
      </c>
      <c r="BI14" s="104">
        <f t="shared" si="29"/>
        <v>0</v>
      </c>
      <c r="BJ14" s="104">
        <f t="shared" si="30"/>
        <v>0</v>
      </c>
      <c r="BL14" s="104">
        <f t="shared" si="31"/>
        <v>0</v>
      </c>
      <c r="BM14" s="104">
        <f t="shared" si="32"/>
        <v>0</v>
      </c>
      <c r="BN14" s="104">
        <f t="shared" si="33"/>
        <v>0</v>
      </c>
    </row>
    <row r="15" spans="1:66" s="19" customFormat="1" ht="15" customHeight="1" x14ac:dyDescent="0.3">
      <c r="A15" s="105">
        <v>5</v>
      </c>
      <c r="B15" s="108"/>
      <c r="C15" s="85"/>
      <c r="D15" s="106"/>
      <c r="E15" s="107"/>
      <c r="F15" s="108"/>
      <c r="G15" s="114"/>
      <c r="H15" s="108"/>
      <c r="I15" s="107"/>
      <c r="J15" s="107"/>
      <c r="K15" s="107"/>
      <c r="L15" s="13"/>
      <c r="M15" s="13"/>
      <c r="N15" s="13"/>
      <c r="O15" s="13"/>
      <c r="P15" s="13"/>
      <c r="Q15" s="13"/>
      <c r="R15" s="13"/>
      <c r="S15" s="13"/>
      <c r="T15" s="13"/>
      <c r="U15" s="13"/>
      <c r="V15" s="13"/>
      <c r="W15" s="13"/>
      <c r="X15" s="13"/>
      <c r="Z15" s="86" t="s">
        <v>41</v>
      </c>
      <c r="AA15" s="86" t="s">
        <v>226</v>
      </c>
      <c r="AE15" s="103">
        <f t="shared" si="15"/>
        <v>0</v>
      </c>
      <c r="AF15" s="103">
        <f t="shared" si="2"/>
        <v>0</v>
      </c>
      <c r="AG15" s="103">
        <f t="shared" si="3"/>
        <v>0</v>
      </c>
      <c r="AH15" s="103">
        <f t="shared" si="4"/>
        <v>0</v>
      </c>
      <c r="AI15" s="103">
        <f t="shared" si="5"/>
        <v>0</v>
      </c>
      <c r="AJ15" s="103">
        <f t="shared" si="6"/>
        <v>0</v>
      </c>
      <c r="AK15" s="103">
        <f t="shared" si="7"/>
        <v>0</v>
      </c>
      <c r="AL15" s="103">
        <f t="shared" si="8"/>
        <v>0</v>
      </c>
      <c r="AM15" s="103">
        <f t="shared" si="9"/>
        <v>0</v>
      </c>
      <c r="AN15" s="103">
        <f t="shared" si="10"/>
        <v>0</v>
      </c>
      <c r="AO15" s="103">
        <f t="shared" si="11"/>
        <v>0</v>
      </c>
      <c r="AP15" s="103">
        <f t="shared" si="12"/>
        <v>0</v>
      </c>
      <c r="AQ15" s="103">
        <f t="shared" si="13"/>
        <v>0</v>
      </c>
      <c r="AR15" s="103">
        <f t="shared" si="14"/>
        <v>0</v>
      </c>
      <c r="AS15" s="103"/>
      <c r="AT15" s="103">
        <f t="shared" si="16"/>
        <v>0</v>
      </c>
      <c r="AU15" s="103">
        <f t="shared" si="34"/>
        <v>0</v>
      </c>
      <c r="AV15" s="103">
        <f t="shared" si="17"/>
        <v>0</v>
      </c>
      <c r="AW15" s="103">
        <f t="shared" si="18"/>
        <v>0</v>
      </c>
      <c r="AX15" s="103"/>
      <c r="AY15" s="104">
        <f t="shared" si="19"/>
        <v>0</v>
      </c>
      <c r="AZ15" s="104">
        <f t="shared" si="20"/>
        <v>0</v>
      </c>
      <c r="BA15" s="104">
        <f t="shared" si="21"/>
        <v>0</v>
      </c>
      <c r="BB15" s="104">
        <f t="shared" si="22"/>
        <v>0</v>
      </c>
      <c r="BC15" s="104">
        <f t="shared" si="23"/>
        <v>0</v>
      </c>
      <c r="BD15" s="104">
        <f t="shared" si="24"/>
        <v>0</v>
      </c>
      <c r="BE15" s="104">
        <f t="shared" si="25"/>
        <v>0</v>
      </c>
      <c r="BF15" s="104">
        <f t="shared" si="26"/>
        <v>0</v>
      </c>
      <c r="BG15" s="104">
        <f t="shared" si="27"/>
        <v>0</v>
      </c>
      <c r="BH15" s="104">
        <f t="shared" si="28"/>
        <v>0</v>
      </c>
      <c r="BI15" s="104">
        <f t="shared" si="29"/>
        <v>0</v>
      </c>
      <c r="BJ15" s="104">
        <f t="shared" si="30"/>
        <v>0</v>
      </c>
      <c r="BL15" s="104">
        <f t="shared" si="31"/>
        <v>0</v>
      </c>
      <c r="BM15" s="104">
        <f t="shared" si="32"/>
        <v>0</v>
      </c>
      <c r="BN15" s="104">
        <f t="shared" si="33"/>
        <v>0</v>
      </c>
    </row>
    <row r="16" spans="1:66" s="19" customFormat="1" ht="15" customHeight="1" x14ac:dyDescent="0.3">
      <c r="A16" s="105">
        <v>6</v>
      </c>
      <c r="B16" s="108"/>
      <c r="C16" s="85"/>
      <c r="D16" s="106"/>
      <c r="E16" s="107"/>
      <c r="F16" s="108"/>
      <c r="G16" s="114"/>
      <c r="H16" s="108"/>
      <c r="I16" s="107"/>
      <c r="J16" s="107"/>
      <c r="K16" s="107"/>
      <c r="L16" s="13"/>
      <c r="M16" s="13"/>
      <c r="N16" s="13"/>
      <c r="O16" s="13"/>
      <c r="P16" s="13"/>
      <c r="Q16" s="13"/>
      <c r="R16" s="13"/>
      <c r="S16" s="13"/>
      <c r="T16" s="13"/>
      <c r="U16" s="13"/>
      <c r="V16" s="13"/>
      <c r="W16" s="13"/>
      <c r="X16" s="13"/>
      <c r="Z16" s="86" t="s">
        <v>42</v>
      </c>
      <c r="AA16" s="86"/>
      <c r="AE16" s="103">
        <f t="shared" si="15"/>
        <v>0</v>
      </c>
      <c r="AF16" s="103">
        <f t="shared" si="2"/>
        <v>0</v>
      </c>
      <c r="AG16" s="103">
        <f t="shared" si="3"/>
        <v>0</v>
      </c>
      <c r="AH16" s="103">
        <f t="shared" si="4"/>
        <v>0</v>
      </c>
      <c r="AI16" s="103">
        <f t="shared" si="5"/>
        <v>0</v>
      </c>
      <c r="AJ16" s="103">
        <f t="shared" si="6"/>
        <v>0</v>
      </c>
      <c r="AK16" s="103">
        <f t="shared" si="7"/>
        <v>0</v>
      </c>
      <c r="AL16" s="103">
        <f t="shared" si="8"/>
        <v>0</v>
      </c>
      <c r="AM16" s="103">
        <f t="shared" si="9"/>
        <v>0</v>
      </c>
      <c r="AN16" s="103">
        <f t="shared" si="10"/>
        <v>0</v>
      </c>
      <c r="AO16" s="103">
        <f t="shared" si="11"/>
        <v>0</v>
      </c>
      <c r="AP16" s="103">
        <f t="shared" si="12"/>
        <v>0</v>
      </c>
      <c r="AQ16" s="103">
        <f t="shared" si="13"/>
        <v>0</v>
      </c>
      <c r="AR16" s="103">
        <f t="shared" si="14"/>
        <v>0</v>
      </c>
      <c r="AS16" s="103"/>
      <c r="AT16" s="103">
        <f t="shared" si="16"/>
        <v>0</v>
      </c>
      <c r="AU16" s="103">
        <f t="shared" si="34"/>
        <v>0</v>
      </c>
      <c r="AV16" s="103">
        <f t="shared" si="17"/>
        <v>0</v>
      </c>
      <c r="AW16" s="103">
        <f t="shared" si="18"/>
        <v>0</v>
      </c>
      <c r="AX16" s="103"/>
      <c r="AY16" s="104">
        <f t="shared" si="19"/>
        <v>0</v>
      </c>
      <c r="AZ16" s="104">
        <f t="shared" si="20"/>
        <v>0</v>
      </c>
      <c r="BA16" s="104">
        <f t="shared" si="21"/>
        <v>0</v>
      </c>
      <c r="BB16" s="104">
        <f t="shared" si="22"/>
        <v>0</v>
      </c>
      <c r="BC16" s="104">
        <f t="shared" si="23"/>
        <v>0</v>
      </c>
      <c r="BD16" s="104">
        <f t="shared" si="24"/>
        <v>0</v>
      </c>
      <c r="BE16" s="104">
        <f t="shared" si="25"/>
        <v>0</v>
      </c>
      <c r="BF16" s="104">
        <f t="shared" si="26"/>
        <v>0</v>
      </c>
      <c r="BG16" s="104">
        <f t="shared" si="27"/>
        <v>0</v>
      </c>
      <c r="BH16" s="104">
        <f t="shared" si="28"/>
        <v>0</v>
      </c>
      <c r="BI16" s="104">
        <f t="shared" si="29"/>
        <v>0</v>
      </c>
      <c r="BJ16" s="104">
        <f t="shared" si="30"/>
        <v>0</v>
      </c>
      <c r="BL16" s="104">
        <f t="shared" si="31"/>
        <v>0</v>
      </c>
      <c r="BM16" s="104">
        <f t="shared" si="32"/>
        <v>0</v>
      </c>
      <c r="BN16" s="104">
        <f t="shared" si="33"/>
        <v>0</v>
      </c>
    </row>
    <row r="17" spans="1:66" s="19" customFormat="1" ht="15" customHeight="1" x14ac:dyDescent="0.3">
      <c r="A17" s="105">
        <v>7</v>
      </c>
      <c r="B17" s="108"/>
      <c r="C17" s="85"/>
      <c r="D17" s="106"/>
      <c r="E17" s="107"/>
      <c r="F17" s="113"/>
      <c r="G17" s="114"/>
      <c r="H17" s="107"/>
      <c r="I17" s="107"/>
      <c r="J17" s="107"/>
      <c r="K17" s="107"/>
      <c r="L17" s="13"/>
      <c r="M17" s="13"/>
      <c r="N17" s="13"/>
      <c r="O17" s="13"/>
      <c r="P17" s="13"/>
      <c r="Q17" s="13"/>
      <c r="R17" s="13"/>
      <c r="S17" s="13"/>
      <c r="T17" s="13"/>
      <c r="U17" s="13"/>
      <c r="V17" s="13"/>
      <c r="W17" s="13"/>
      <c r="X17" s="13"/>
      <c r="Z17" s="86" t="s">
        <v>59</v>
      </c>
      <c r="AE17" s="103">
        <f t="shared" si="15"/>
        <v>0</v>
      </c>
      <c r="AF17" s="103">
        <f t="shared" si="2"/>
        <v>0</v>
      </c>
      <c r="AG17" s="103">
        <f t="shared" si="3"/>
        <v>0</v>
      </c>
      <c r="AH17" s="103">
        <f t="shared" si="4"/>
        <v>0</v>
      </c>
      <c r="AI17" s="103">
        <f t="shared" si="5"/>
        <v>0</v>
      </c>
      <c r="AJ17" s="103">
        <f t="shared" si="6"/>
        <v>0</v>
      </c>
      <c r="AK17" s="103">
        <f t="shared" si="7"/>
        <v>0</v>
      </c>
      <c r="AL17" s="103">
        <f t="shared" si="8"/>
        <v>0</v>
      </c>
      <c r="AM17" s="103">
        <f t="shared" si="9"/>
        <v>0</v>
      </c>
      <c r="AN17" s="103">
        <f t="shared" si="10"/>
        <v>0</v>
      </c>
      <c r="AO17" s="103">
        <f t="shared" si="11"/>
        <v>0</v>
      </c>
      <c r="AP17" s="103">
        <f t="shared" si="12"/>
        <v>0</v>
      </c>
      <c r="AQ17" s="103">
        <f t="shared" si="13"/>
        <v>0</v>
      </c>
      <c r="AR17" s="103">
        <f t="shared" si="14"/>
        <v>0</v>
      </c>
      <c r="AS17" s="103"/>
      <c r="AT17" s="103">
        <f t="shared" si="16"/>
        <v>0</v>
      </c>
      <c r="AU17" s="103">
        <f t="shared" si="34"/>
        <v>0</v>
      </c>
      <c r="AV17" s="103">
        <f t="shared" si="17"/>
        <v>0</v>
      </c>
      <c r="AW17" s="103">
        <f t="shared" si="18"/>
        <v>0</v>
      </c>
      <c r="AX17" s="103"/>
      <c r="AY17" s="104">
        <f t="shared" si="19"/>
        <v>0</v>
      </c>
      <c r="AZ17" s="104">
        <f t="shared" si="20"/>
        <v>0</v>
      </c>
      <c r="BA17" s="104">
        <f t="shared" si="21"/>
        <v>0</v>
      </c>
      <c r="BB17" s="104">
        <f t="shared" si="22"/>
        <v>0</v>
      </c>
      <c r="BC17" s="104">
        <f t="shared" si="23"/>
        <v>0</v>
      </c>
      <c r="BD17" s="104">
        <f t="shared" si="24"/>
        <v>0</v>
      </c>
      <c r="BE17" s="104">
        <f t="shared" si="25"/>
        <v>0</v>
      </c>
      <c r="BF17" s="104">
        <f t="shared" si="26"/>
        <v>0</v>
      </c>
      <c r="BG17" s="104">
        <f t="shared" si="27"/>
        <v>0</v>
      </c>
      <c r="BH17" s="104">
        <f t="shared" si="28"/>
        <v>0</v>
      </c>
      <c r="BI17" s="104">
        <f t="shared" si="29"/>
        <v>0</v>
      </c>
      <c r="BJ17" s="104">
        <f t="shared" si="30"/>
        <v>0</v>
      </c>
      <c r="BL17" s="104">
        <f t="shared" si="31"/>
        <v>0</v>
      </c>
      <c r="BM17" s="104">
        <f t="shared" si="32"/>
        <v>0</v>
      </c>
      <c r="BN17" s="104">
        <f t="shared" si="33"/>
        <v>0</v>
      </c>
    </row>
    <row r="18" spans="1:66" s="19" customFormat="1" ht="15" customHeight="1" x14ac:dyDescent="0.3">
      <c r="A18" s="105">
        <v>8</v>
      </c>
      <c r="B18" s="108"/>
      <c r="C18" s="85"/>
      <c r="D18" s="106"/>
      <c r="E18" s="107"/>
      <c r="F18" s="113"/>
      <c r="G18" s="114"/>
      <c r="H18" s="107"/>
      <c r="I18" s="107"/>
      <c r="J18" s="107"/>
      <c r="K18" s="107"/>
      <c r="L18" s="13"/>
      <c r="M18" s="13"/>
      <c r="N18" s="13"/>
      <c r="O18" s="13"/>
      <c r="P18" s="13"/>
      <c r="Q18" s="13"/>
      <c r="R18" s="13"/>
      <c r="S18" s="13"/>
      <c r="T18" s="13"/>
      <c r="U18" s="13"/>
      <c r="V18" s="13"/>
      <c r="W18" s="13"/>
      <c r="X18" s="13"/>
      <c r="AE18" s="103">
        <f t="shared" si="15"/>
        <v>0</v>
      </c>
      <c r="AF18" s="103">
        <f t="shared" si="2"/>
        <v>0</v>
      </c>
      <c r="AG18" s="103">
        <f t="shared" si="3"/>
        <v>0</v>
      </c>
      <c r="AH18" s="103">
        <f t="shared" si="4"/>
        <v>0</v>
      </c>
      <c r="AI18" s="103">
        <f t="shared" si="5"/>
        <v>0</v>
      </c>
      <c r="AJ18" s="103">
        <f t="shared" si="6"/>
        <v>0</v>
      </c>
      <c r="AK18" s="103">
        <f t="shared" si="7"/>
        <v>0</v>
      </c>
      <c r="AL18" s="103">
        <f t="shared" si="8"/>
        <v>0</v>
      </c>
      <c r="AM18" s="103">
        <f t="shared" si="9"/>
        <v>0</v>
      </c>
      <c r="AN18" s="103">
        <f t="shared" si="10"/>
        <v>0</v>
      </c>
      <c r="AO18" s="103">
        <f t="shared" si="11"/>
        <v>0</v>
      </c>
      <c r="AP18" s="103">
        <f t="shared" si="12"/>
        <v>0</v>
      </c>
      <c r="AQ18" s="103">
        <f t="shared" si="13"/>
        <v>0</v>
      </c>
      <c r="AR18" s="103">
        <f t="shared" si="14"/>
        <v>0</v>
      </c>
      <c r="AS18" s="103"/>
      <c r="AT18" s="103">
        <f t="shared" si="16"/>
        <v>0</v>
      </c>
      <c r="AU18" s="103">
        <f t="shared" si="34"/>
        <v>0</v>
      </c>
      <c r="AV18" s="103">
        <f t="shared" si="17"/>
        <v>0</v>
      </c>
      <c r="AW18" s="103">
        <f t="shared" si="18"/>
        <v>0</v>
      </c>
      <c r="AX18" s="103"/>
      <c r="AY18" s="104">
        <f t="shared" si="19"/>
        <v>0</v>
      </c>
      <c r="AZ18" s="104">
        <f t="shared" si="20"/>
        <v>0</v>
      </c>
      <c r="BA18" s="104">
        <f t="shared" si="21"/>
        <v>0</v>
      </c>
      <c r="BB18" s="104">
        <f t="shared" si="22"/>
        <v>0</v>
      </c>
      <c r="BC18" s="104">
        <f t="shared" si="23"/>
        <v>0</v>
      </c>
      <c r="BD18" s="104">
        <f t="shared" si="24"/>
        <v>0</v>
      </c>
      <c r="BE18" s="104">
        <f t="shared" si="25"/>
        <v>0</v>
      </c>
      <c r="BF18" s="104">
        <f t="shared" si="26"/>
        <v>0</v>
      </c>
      <c r="BG18" s="104">
        <f t="shared" si="27"/>
        <v>0</v>
      </c>
      <c r="BH18" s="104">
        <f t="shared" si="28"/>
        <v>0</v>
      </c>
      <c r="BI18" s="104">
        <f t="shared" si="29"/>
        <v>0</v>
      </c>
      <c r="BJ18" s="104">
        <f t="shared" si="30"/>
        <v>0</v>
      </c>
      <c r="BL18" s="104">
        <f t="shared" si="31"/>
        <v>0</v>
      </c>
      <c r="BM18" s="104">
        <f t="shared" si="32"/>
        <v>0</v>
      </c>
      <c r="BN18" s="104">
        <f t="shared" si="33"/>
        <v>0</v>
      </c>
    </row>
    <row r="19" spans="1:66" s="19" customFormat="1" ht="15" customHeight="1" x14ac:dyDescent="0.3">
      <c r="A19" s="105">
        <v>9</v>
      </c>
      <c r="B19" s="108"/>
      <c r="C19" s="85"/>
      <c r="D19" s="106"/>
      <c r="E19" s="107"/>
      <c r="F19" s="113"/>
      <c r="G19" s="114"/>
      <c r="H19" s="107"/>
      <c r="I19" s="107"/>
      <c r="J19" s="107"/>
      <c r="K19" s="107"/>
      <c r="L19" s="13"/>
      <c r="M19" s="13"/>
      <c r="N19" s="13"/>
      <c r="O19" s="13"/>
      <c r="P19" s="13"/>
      <c r="Q19" s="13"/>
      <c r="R19" s="13"/>
      <c r="S19" s="13"/>
      <c r="T19" s="13"/>
      <c r="U19" s="13"/>
      <c r="V19" s="13"/>
      <c r="W19" s="13"/>
      <c r="X19" s="13"/>
      <c r="AE19" s="103">
        <f t="shared" si="15"/>
        <v>0</v>
      </c>
      <c r="AF19" s="103">
        <f t="shared" si="2"/>
        <v>0</v>
      </c>
      <c r="AG19" s="103">
        <f t="shared" si="3"/>
        <v>0</v>
      </c>
      <c r="AH19" s="103">
        <f t="shared" si="4"/>
        <v>0</v>
      </c>
      <c r="AI19" s="103">
        <f t="shared" si="5"/>
        <v>0</v>
      </c>
      <c r="AJ19" s="103">
        <f t="shared" si="6"/>
        <v>0</v>
      </c>
      <c r="AK19" s="103">
        <f t="shared" si="7"/>
        <v>0</v>
      </c>
      <c r="AL19" s="103">
        <f t="shared" si="8"/>
        <v>0</v>
      </c>
      <c r="AM19" s="103">
        <f t="shared" si="9"/>
        <v>0</v>
      </c>
      <c r="AN19" s="103">
        <f t="shared" si="10"/>
        <v>0</v>
      </c>
      <c r="AO19" s="103">
        <f t="shared" si="11"/>
        <v>0</v>
      </c>
      <c r="AP19" s="103">
        <f t="shared" si="12"/>
        <v>0</v>
      </c>
      <c r="AQ19" s="103">
        <f t="shared" si="13"/>
        <v>0</v>
      </c>
      <c r="AR19" s="103">
        <f t="shared" si="14"/>
        <v>0</v>
      </c>
      <c r="AS19" s="103"/>
      <c r="AT19" s="103">
        <f t="shared" si="16"/>
        <v>0</v>
      </c>
      <c r="AU19" s="103">
        <f t="shared" si="34"/>
        <v>0</v>
      </c>
      <c r="AV19" s="103">
        <f t="shared" si="17"/>
        <v>0</v>
      </c>
      <c r="AW19" s="103">
        <f t="shared" si="18"/>
        <v>0</v>
      </c>
      <c r="AX19" s="103"/>
      <c r="AY19" s="104">
        <f t="shared" si="19"/>
        <v>0</v>
      </c>
      <c r="AZ19" s="104">
        <f t="shared" si="20"/>
        <v>0</v>
      </c>
      <c r="BA19" s="104">
        <f t="shared" si="21"/>
        <v>0</v>
      </c>
      <c r="BB19" s="104">
        <f t="shared" si="22"/>
        <v>0</v>
      </c>
      <c r="BC19" s="104">
        <f t="shared" si="23"/>
        <v>0</v>
      </c>
      <c r="BD19" s="104">
        <f t="shared" si="24"/>
        <v>0</v>
      </c>
      <c r="BE19" s="104">
        <f t="shared" si="25"/>
        <v>0</v>
      </c>
      <c r="BF19" s="104">
        <f t="shared" si="26"/>
        <v>0</v>
      </c>
      <c r="BG19" s="104">
        <f t="shared" si="27"/>
        <v>0</v>
      </c>
      <c r="BH19" s="104">
        <f t="shared" si="28"/>
        <v>0</v>
      </c>
      <c r="BI19" s="104">
        <f t="shared" si="29"/>
        <v>0</v>
      </c>
      <c r="BJ19" s="104">
        <f t="shared" si="30"/>
        <v>0</v>
      </c>
      <c r="BL19" s="104">
        <f t="shared" si="31"/>
        <v>0</v>
      </c>
      <c r="BM19" s="104">
        <f t="shared" si="32"/>
        <v>0</v>
      </c>
      <c r="BN19" s="104">
        <f t="shared" si="33"/>
        <v>0</v>
      </c>
    </row>
    <row r="20" spans="1:66" s="19" customFormat="1" ht="15" customHeight="1" x14ac:dyDescent="0.3">
      <c r="A20" s="105">
        <v>10</v>
      </c>
      <c r="B20" s="108"/>
      <c r="C20" s="85"/>
      <c r="D20" s="106"/>
      <c r="E20" s="107"/>
      <c r="F20" s="113"/>
      <c r="G20" s="114"/>
      <c r="H20" s="107"/>
      <c r="I20" s="107"/>
      <c r="J20" s="107"/>
      <c r="K20" s="107"/>
      <c r="L20" s="109"/>
      <c r="M20" s="13"/>
      <c r="N20" s="13"/>
      <c r="O20" s="13"/>
      <c r="P20" s="13"/>
      <c r="Q20" s="13"/>
      <c r="R20" s="13"/>
      <c r="S20" s="13"/>
      <c r="T20" s="13"/>
      <c r="U20" s="13"/>
      <c r="V20" s="13"/>
      <c r="W20" s="13"/>
      <c r="X20" s="13"/>
      <c r="AE20" s="103">
        <f t="shared" si="15"/>
        <v>0</v>
      </c>
      <c r="AF20" s="103">
        <f t="shared" si="2"/>
        <v>0</v>
      </c>
      <c r="AG20" s="103">
        <f t="shared" si="3"/>
        <v>0</v>
      </c>
      <c r="AH20" s="103">
        <f t="shared" si="4"/>
        <v>0</v>
      </c>
      <c r="AI20" s="103">
        <f t="shared" si="5"/>
        <v>0</v>
      </c>
      <c r="AJ20" s="103">
        <f t="shared" si="6"/>
        <v>0</v>
      </c>
      <c r="AK20" s="103">
        <f t="shared" si="7"/>
        <v>0</v>
      </c>
      <c r="AL20" s="103">
        <f t="shared" si="8"/>
        <v>0</v>
      </c>
      <c r="AM20" s="103">
        <f t="shared" si="9"/>
        <v>0</v>
      </c>
      <c r="AN20" s="103">
        <f t="shared" si="10"/>
        <v>0</v>
      </c>
      <c r="AO20" s="103">
        <f t="shared" si="11"/>
        <v>0</v>
      </c>
      <c r="AP20" s="103">
        <f t="shared" si="12"/>
        <v>0</v>
      </c>
      <c r="AQ20" s="103">
        <f t="shared" si="13"/>
        <v>0</v>
      </c>
      <c r="AR20" s="103">
        <f t="shared" si="14"/>
        <v>0</v>
      </c>
      <c r="AS20" s="103"/>
      <c r="AT20" s="103">
        <f t="shared" si="16"/>
        <v>0</v>
      </c>
      <c r="AU20" s="103">
        <f t="shared" si="34"/>
        <v>0</v>
      </c>
      <c r="AV20" s="103">
        <f t="shared" si="17"/>
        <v>0</v>
      </c>
      <c r="AW20" s="103">
        <f t="shared" si="18"/>
        <v>0</v>
      </c>
      <c r="AX20" s="103"/>
      <c r="AY20" s="104">
        <f t="shared" si="19"/>
        <v>0</v>
      </c>
      <c r="AZ20" s="104">
        <f t="shared" si="20"/>
        <v>0</v>
      </c>
      <c r="BA20" s="104">
        <f t="shared" si="21"/>
        <v>0</v>
      </c>
      <c r="BB20" s="104">
        <f t="shared" si="22"/>
        <v>0</v>
      </c>
      <c r="BC20" s="104">
        <f t="shared" si="23"/>
        <v>0</v>
      </c>
      <c r="BD20" s="104">
        <f t="shared" si="24"/>
        <v>0</v>
      </c>
      <c r="BE20" s="104">
        <f t="shared" si="25"/>
        <v>0</v>
      </c>
      <c r="BF20" s="104">
        <f t="shared" si="26"/>
        <v>0</v>
      </c>
      <c r="BG20" s="104">
        <f t="shared" si="27"/>
        <v>0</v>
      </c>
      <c r="BH20" s="104">
        <f t="shared" si="28"/>
        <v>0</v>
      </c>
      <c r="BI20" s="104">
        <f t="shared" si="29"/>
        <v>0</v>
      </c>
      <c r="BJ20" s="104">
        <f t="shared" si="30"/>
        <v>0</v>
      </c>
      <c r="BL20" s="104">
        <f t="shared" si="31"/>
        <v>0</v>
      </c>
      <c r="BM20" s="104">
        <f t="shared" si="32"/>
        <v>0</v>
      </c>
      <c r="BN20" s="104">
        <f t="shared" si="33"/>
        <v>0</v>
      </c>
    </row>
    <row r="21" spans="1:66" s="19" customFormat="1" ht="15" customHeight="1" x14ac:dyDescent="0.3">
      <c r="A21" s="105">
        <v>11</v>
      </c>
      <c r="B21" s="108"/>
      <c r="C21" s="85"/>
      <c r="D21" s="106"/>
      <c r="E21" s="107"/>
      <c r="F21" s="113"/>
      <c r="G21" s="114"/>
      <c r="H21" s="107"/>
      <c r="I21" s="107"/>
      <c r="J21" s="107"/>
      <c r="K21" s="107"/>
      <c r="L21" s="13"/>
      <c r="M21" s="13"/>
      <c r="N21" s="13"/>
      <c r="O21" s="13"/>
      <c r="P21" s="13"/>
      <c r="Q21" s="13"/>
      <c r="R21" s="13"/>
      <c r="S21" s="13"/>
      <c r="T21" s="13"/>
      <c r="U21" s="13"/>
      <c r="V21" s="13"/>
      <c r="W21" s="13"/>
      <c r="X21" s="13"/>
      <c r="AE21" s="103">
        <f t="shared" si="15"/>
        <v>0</v>
      </c>
      <c r="AF21" s="103">
        <f t="shared" si="2"/>
        <v>0</v>
      </c>
      <c r="AG21" s="103">
        <f t="shared" si="3"/>
        <v>0</v>
      </c>
      <c r="AH21" s="103">
        <f t="shared" si="4"/>
        <v>0</v>
      </c>
      <c r="AI21" s="103">
        <f t="shared" si="5"/>
        <v>0</v>
      </c>
      <c r="AJ21" s="103">
        <f t="shared" si="6"/>
        <v>0</v>
      </c>
      <c r="AK21" s="103">
        <f t="shared" si="7"/>
        <v>0</v>
      </c>
      <c r="AL21" s="103">
        <f t="shared" si="8"/>
        <v>0</v>
      </c>
      <c r="AM21" s="103">
        <f t="shared" si="9"/>
        <v>0</v>
      </c>
      <c r="AN21" s="103">
        <f t="shared" si="10"/>
        <v>0</v>
      </c>
      <c r="AO21" s="103">
        <f t="shared" si="11"/>
        <v>0</v>
      </c>
      <c r="AP21" s="103">
        <f t="shared" si="12"/>
        <v>0</v>
      </c>
      <c r="AQ21" s="103">
        <f t="shared" si="13"/>
        <v>0</v>
      </c>
      <c r="AR21" s="103">
        <f t="shared" si="14"/>
        <v>0</v>
      </c>
      <c r="AS21" s="103"/>
      <c r="AT21" s="103">
        <f t="shared" si="16"/>
        <v>0</v>
      </c>
      <c r="AU21" s="103">
        <f t="shared" si="34"/>
        <v>0</v>
      </c>
      <c r="AV21" s="103">
        <f t="shared" si="17"/>
        <v>0</v>
      </c>
      <c r="AW21" s="103">
        <f t="shared" si="18"/>
        <v>0</v>
      </c>
      <c r="AX21" s="103"/>
      <c r="AY21" s="104">
        <f t="shared" si="19"/>
        <v>0</v>
      </c>
      <c r="AZ21" s="104">
        <f t="shared" si="20"/>
        <v>0</v>
      </c>
      <c r="BA21" s="104">
        <f t="shared" si="21"/>
        <v>0</v>
      </c>
      <c r="BB21" s="104">
        <f t="shared" si="22"/>
        <v>0</v>
      </c>
      <c r="BC21" s="104">
        <f t="shared" si="23"/>
        <v>0</v>
      </c>
      <c r="BD21" s="104">
        <f t="shared" si="24"/>
        <v>0</v>
      </c>
      <c r="BE21" s="104">
        <f t="shared" si="25"/>
        <v>0</v>
      </c>
      <c r="BF21" s="104">
        <f t="shared" si="26"/>
        <v>0</v>
      </c>
      <c r="BG21" s="104">
        <f t="shared" si="27"/>
        <v>0</v>
      </c>
      <c r="BH21" s="104">
        <f t="shared" si="28"/>
        <v>0</v>
      </c>
      <c r="BI21" s="104">
        <f t="shared" si="29"/>
        <v>0</v>
      </c>
      <c r="BJ21" s="104">
        <f t="shared" si="30"/>
        <v>0</v>
      </c>
      <c r="BL21" s="104">
        <f t="shared" si="31"/>
        <v>0</v>
      </c>
      <c r="BM21" s="104">
        <f t="shared" si="32"/>
        <v>0</v>
      </c>
      <c r="BN21" s="104">
        <f t="shared" si="33"/>
        <v>0</v>
      </c>
    </row>
    <row r="22" spans="1:66" s="19" customFormat="1" ht="15" customHeight="1" x14ac:dyDescent="0.3">
      <c r="A22" s="105">
        <v>12</v>
      </c>
      <c r="B22" s="108"/>
      <c r="C22" s="85"/>
      <c r="D22" s="106"/>
      <c r="E22" s="107"/>
      <c r="F22" s="113"/>
      <c r="G22" s="114"/>
      <c r="H22" s="107"/>
      <c r="I22" s="107"/>
      <c r="J22" s="107"/>
      <c r="K22" s="107"/>
      <c r="L22" s="13"/>
      <c r="M22" s="13"/>
      <c r="N22" s="13"/>
      <c r="O22" s="13"/>
      <c r="P22" s="13"/>
      <c r="Q22" s="13"/>
      <c r="R22" s="13"/>
      <c r="S22" s="13"/>
      <c r="T22" s="13"/>
      <c r="U22" s="13"/>
      <c r="V22" s="13"/>
      <c r="W22" s="13"/>
      <c r="X22" s="13"/>
      <c r="AE22" s="103">
        <f t="shared" si="15"/>
        <v>0</v>
      </c>
      <c r="AF22" s="103">
        <f t="shared" si="2"/>
        <v>0</v>
      </c>
      <c r="AG22" s="103">
        <f t="shared" si="3"/>
        <v>0</v>
      </c>
      <c r="AH22" s="103">
        <f t="shared" si="4"/>
        <v>0</v>
      </c>
      <c r="AI22" s="103">
        <f t="shared" si="5"/>
        <v>0</v>
      </c>
      <c r="AJ22" s="103">
        <f t="shared" si="6"/>
        <v>0</v>
      </c>
      <c r="AK22" s="103">
        <f t="shared" si="7"/>
        <v>0</v>
      </c>
      <c r="AL22" s="103">
        <f t="shared" si="8"/>
        <v>0</v>
      </c>
      <c r="AM22" s="103">
        <f t="shared" si="9"/>
        <v>0</v>
      </c>
      <c r="AN22" s="103">
        <f t="shared" si="10"/>
        <v>0</v>
      </c>
      <c r="AO22" s="103">
        <f t="shared" si="11"/>
        <v>0</v>
      </c>
      <c r="AP22" s="103">
        <f t="shared" si="12"/>
        <v>0</v>
      </c>
      <c r="AQ22" s="103">
        <f t="shared" si="13"/>
        <v>0</v>
      </c>
      <c r="AR22" s="103">
        <f t="shared" si="14"/>
        <v>0</v>
      </c>
      <c r="AS22" s="103"/>
      <c r="AT22" s="103">
        <f t="shared" si="16"/>
        <v>0</v>
      </c>
      <c r="AU22" s="103">
        <f t="shared" si="34"/>
        <v>0</v>
      </c>
      <c r="AV22" s="103">
        <f t="shared" si="17"/>
        <v>0</v>
      </c>
      <c r="AW22" s="103">
        <f t="shared" si="18"/>
        <v>0</v>
      </c>
      <c r="AX22" s="103"/>
      <c r="AY22" s="104">
        <f t="shared" si="19"/>
        <v>0</v>
      </c>
      <c r="AZ22" s="104">
        <f t="shared" si="20"/>
        <v>0</v>
      </c>
      <c r="BA22" s="104">
        <f t="shared" si="21"/>
        <v>0</v>
      </c>
      <c r="BB22" s="104">
        <f t="shared" si="22"/>
        <v>0</v>
      </c>
      <c r="BC22" s="104">
        <f t="shared" si="23"/>
        <v>0</v>
      </c>
      <c r="BD22" s="104">
        <f t="shared" si="24"/>
        <v>0</v>
      </c>
      <c r="BE22" s="104">
        <f t="shared" si="25"/>
        <v>0</v>
      </c>
      <c r="BF22" s="104">
        <f t="shared" si="26"/>
        <v>0</v>
      </c>
      <c r="BG22" s="104">
        <f t="shared" si="27"/>
        <v>0</v>
      </c>
      <c r="BH22" s="104">
        <f t="shared" si="28"/>
        <v>0</v>
      </c>
      <c r="BI22" s="104">
        <f t="shared" si="29"/>
        <v>0</v>
      </c>
      <c r="BJ22" s="104">
        <f t="shared" si="30"/>
        <v>0</v>
      </c>
      <c r="BL22" s="104">
        <f t="shared" si="31"/>
        <v>0</v>
      </c>
      <c r="BM22" s="104">
        <f t="shared" si="32"/>
        <v>0</v>
      </c>
      <c r="BN22" s="104">
        <f t="shared" si="33"/>
        <v>0</v>
      </c>
    </row>
    <row r="23" spans="1:66" s="19" customFormat="1" ht="15" customHeight="1" x14ac:dyDescent="0.3">
      <c r="A23" s="105">
        <v>13</v>
      </c>
      <c r="B23" s="108"/>
      <c r="C23" s="85"/>
      <c r="D23" s="106"/>
      <c r="E23" s="107"/>
      <c r="F23" s="113"/>
      <c r="G23" s="114"/>
      <c r="H23" s="107"/>
      <c r="I23" s="107"/>
      <c r="J23" s="107"/>
      <c r="K23" s="107"/>
      <c r="L23" s="13"/>
      <c r="M23" s="13"/>
      <c r="N23" s="13"/>
      <c r="O23" s="13"/>
      <c r="P23" s="13"/>
      <c r="Q23" s="13"/>
      <c r="R23" s="13"/>
      <c r="S23" s="13"/>
      <c r="T23" s="13"/>
      <c r="U23" s="13"/>
      <c r="V23" s="13"/>
      <c r="W23" s="13"/>
      <c r="X23" s="13"/>
      <c r="AE23" s="103">
        <f t="shared" si="15"/>
        <v>0</v>
      </c>
      <c r="AF23" s="103">
        <f t="shared" si="2"/>
        <v>0</v>
      </c>
      <c r="AG23" s="103">
        <f t="shared" si="3"/>
        <v>0</v>
      </c>
      <c r="AH23" s="103">
        <f t="shared" si="4"/>
        <v>0</v>
      </c>
      <c r="AI23" s="103">
        <f t="shared" si="5"/>
        <v>0</v>
      </c>
      <c r="AJ23" s="103">
        <f t="shared" si="6"/>
        <v>0</v>
      </c>
      <c r="AK23" s="103">
        <f t="shared" si="7"/>
        <v>0</v>
      </c>
      <c r="AL23" s="103">
        <f t="shared" si="8"/>
        <v>0</v>
      </c>
      <c r="AM23" s="103">
        <f t="shared" si="9"/>
        <v>0</v>
      </c>
      <c r="AN23" s="103">
        <f t="shared" si="10"/>
        <v>0</v>
      </c>
      <c r="AO23" s="103">
        <f t="shared" si="11"/>
        <v>0</v>
      </c>
      <c r="AP23" s="103">
        <f t="shared" si="12"/>
        <v>0</v>
      </c>
      <c r="AQ23" s="103">
        <f t="shared" si="13"/>
        <v>0</v>
      </c>
      <c r="AR23" s="103">
        <f t="shared" si="14"/>
        <v>0</v>
      </c>
      <c r="AS23" s="103"/>
      <c r="AT23" s="103">
        <f t="shared" si="16"/>
        <v>0</v>
      </c>
      <c r="AU23" s="103">
        <f t="shared" si="34"/>
        <v>0</v>
      </c>
      <c r="AV23" s="103">
        <f t="shared" si="17"/>
        <v>0</v>
      </c>
      <c r="AW23" s="103">
        <f t="shared" si="18"/>
        <v>0</v>
      </c>
      <c r="AX23" s="103"/>
      <c r="AY23" s="104">
        <f t="shared" si="19"/>
        <v>0</v>
      </c>
      <c r="AZ23" s="104">
        <f t="shared" si="20"/>
        <v>0</v>
      </c>
      <c r="BA23" s="104">
        <f t="shared" si="21"/>
        <v>0</v>
      </c>
      <c r="BB23" s="104">
        <f t="shared" si="22"/>
        <v>0</v>
      </c>
      <c r="BC23" s="104">
        <f t="shared" si="23"/>
        <v>0</v>
      </c>
      <c r="BD23" s="104">
        <f t="shared" si="24"/>
        <v>0</v>
      </c>
      <c r="BE23" s="104">
        <f t="shared" si="25"/>
        <v>0</v>
      </c>
      <c r="BF23" s="104">
        <f t="shared" si="26"/>
        <v>0</v>
      </c>
      <c r="BG23" s="104">
        <f t="shared" si="27"/>
        <v>0</v>
      </c>
      <c r="BH23" s="104">
        <f t="shared" si="28"/>
        <v>0</v>
      </c>
      <c r="BI23" s="104">
        <f t="shared" si="29"/>
        <v>0</v>
      </c>
      <c r="BJ23" s="104">
        <f t="shared" si="30"/>
        <v>0</v>
      </c>
      <c r="BL23" s="104">
        <f t="shared" si="31"/>
        <v>0</v>
      </c>
      <c r="BM23" s="104">
        <f t="shared" si="32"/>
        <v>0</v>
      </c>
      <c r="BN23" s="104">
        <f t="shared" si="33"/>
        <v>0</v>
      </c>
    </row>
    <row r="24" spans="1:66" s="19" customFormat="1" ht="15" customHeight="1" x14ac:dyDescent="0.3">
      <c r="A24" s="105">
        <v>14</v>
      </c>
      <c r="B24" s="108"/>
      <c r="C24" s="85"/>
      <c r="D24" s="106"/>
      <c r="E24" s="107"/>
      <c r="F24" s="113"/>
      <c r="G24" s="114"/>
      <c r="H24" s="107"/>
      <c r="I24" s="107"/>
      <c r="J24" s="107"/>
      <c r="K24" s="107"/>
      <c r="L24" s="13"/>
      <c r="M24" s="13"/>
      <c r="N24" s="13"/>
      <c r="O24" s="13"/>
      <c r="P24" s="13"/>
      <c r="Q24" s="13"/>
      <c r="R24" s="13"/>
      <c r="S24" s="13"/>
      <c r="T24" s="13"/>
      <c r="U24" s="13"/>
      <c r="V24" s="13"/>
      <c r="W24" s="13"/>
      <c r="X24" s="13"/>
      <c r="AE24" s="103">
        <f t="shared" si="15"/>
        <v>0</v>
      </c>
      <c r="AF24" s="103">
        <f t="shared" si="2"/>
        <v>0</v>
      </c>
      <c r="AG24" s="103">
        <f t="shared" si="3"/>
        <v>0</v>
      </c>
      <c r="AH24" s="103">
        <f t="shared" si="4"/>
        <v>0</v>
      </c>
      <c r="AI24" s="103">
        <f t="shared" si="5"/>
        <v>0</v>
      </c>
      <c r="AJ24" s="103">
        <f t="shared" si="6"/>
        <v>0</v>
      </c>
      <c r="AK24" s="103">
        <f t="shared" si="7"/>
        <v>0</v>
      </c>
      <c r="AL24" s="103">
        <f t="shared" si="8"/>
        <v>0</v>
      </c>
      <c r="AM24" s="103">
        <f t="shared" si="9"/>
        <v>0</v>
      </c>
      <c r="AN24" s="103">
        <f t="shared" si="10"/>
        <v>0</v>
      </c>
      <c r="AO24" s="103">
        <f t="shared" si="11"/>
        <v>0</v>
      </c>
      <c r="AP24" s="103">
        <f t="shared" si="12"/>
        <v>0</v>
      </c>
      <c r="AQ24" s="103">
        <f t="shared" si="13"/>
        <v>0</v>
      </c>
      <c r="AR24" s="103">
        <f t="shared" si="14"/>
        <v>0</v>
      </c>
      <c r="AS24" s="103"/>
      <c r="AT24" s="103">
        <f t="shared" si="16"/>
        <v>0</v>
      </c>
      <c r="AU24" s="103">
        <f t="shared" si="34"/>
        <v>0</v>
      </c>
      <c r="AV24" s="103">
        <f t="shared" si="17"/>
        <v>0</v>
      </c>
      <c r="AW24" s="103">
        <f t="shared" si="18"/>
        <v>0</v>
      </c>
      <c r="AX24" s="103"/>
      <c r="AY24" s="104">
        <f t="shared" si="19"/>
        <v>0</v>
      </c>
      <c r="AZ24" s="104">
        <f t="shared" si="20"/>
        <v>0</v>
      </c>
      <c r="BA24" s="104">
        <f t="shared" si="21"/>
        <v>0</v>
      </c>
      <c r="BB24" s="104">
        <f t="shared" si="22"/>
        <v>0</v>
      </c>
      <c r="BC24" s="104">
        <f t="shared" si="23"/>
        <v>0</v>
      </c>
      <c r="BD24" s="104">
        <f t="shared" si="24"/>
        <v>0</v>
      </c>
      <c r="BE24" s="104">
        <f t="shared" si="25"/>
        <v>0</v>
      </c>
      <c r="BF24" s="104">
        <f t="shared" si="26"/>
        <v>0</v>
      </c>
      <c r="BG24" s="104">
        <f t="shared" si="27"/>
        <v>0</v>
      </c>
      <c r="BH24" s="104">
        <f t="shared" si="28"/>
        <v>0</v>
      </c>
      <c r="BI24" s="104">
        <f t="shared" si="29"/>
        <v>0</v>
      </c>
      <c r="BJ24" s="104">
        <f t="shared" si="30"/>
        <v>0</v>
      </c>
      <c r="BL24" s="104">
        <f t="shared" si="31"/>
        <v>0</v>
      </c>
      <c r="BM24" s="104">
        <f t="shared" si="32"/>
        <v>0</v>
      </c>
      <c r="BN24" s="104">
        <f t="shared" si="33"/>
        <v>0</v>
      </c>
    </row>
    <row r="25" spans="1:66" s="19" customFormat="1" ht="15" customHeight="1" x14ac:dyDescent="0.3">
      <c r="A25" s="105">
        <v>15</v>
      </c>
      <c r="B25" s="108"/>
      <c r="C25" s="85"/>
      <c r="D25" s="106"/>
      <c r="E25" s="107"/>
      <c r="F25" s="113"/>
      <c r="G25" s="114"/>
      <c r="H25" s="107"/>
      <c r="I25" s="107"/>
      <c r="J25" s="107"/>
      <c r="K25" s="107"/>
      <c r="L25" s="13"/>
      <c r="M25" s="13"/>
      <c r="N25" s="13"/>
      <c r="O25" s="13"/>
      <c r="P25" s="13"/>
      <c r="Q25" s="13"/>
      <c r="R25" s="13"/>
      <c r="S25" s="13"/>
      <c r="T25" s="13"/>
      <c r="U25" s="13"/>
      <c r="V25" s="13"/>
      <c r="W25" s="13"/>
      <c r="X25" s="13"/>
      <c r="AE25" s="103">
        <f t="shared" si="15"/>
        <v>0</v>
      </c>
      <c r="AF25" s="103">
        <f t="shared" si="2"/>
        <v>0</v>
      </c>
      <c r="AG25" s="103">
        <f t="shared" si="3"/>
        <v>0</v>
      </c>
      <c r="AH25" s="103">
        <f t="shared" si="4"/>
        <v>0</v>
      </c>
      <c r="AI25" s="103">
        <f t="shared" si="5"/>
        <v>0</v>
      </c>
      <c r="AJ25" s="103">
        <f t="shared" si="6"/>
        <v>0</v>
      </c>
      <c r="AK25" s="103">
        <f t="shared" si="7"/>
        <v>0</v>
      </c>
      <c r="AL25" s="103">
        <f t="shared" si="8"/>
        <v>0</v>
      </c>
      <c r="AM25" s="103">
        <f t="shared" si="9"/>
        <v>0</v>
      </c>
      <c r="AN25" s="103">
        <f t="shared" si="10"/>
        <v>0</v>
      </c>
      <c r="AO25" s="103">
        <f t="shared" si="11"/>
        <v>0</v>
      </c>
      <c r="AP25" s="103">
        <f t="shared" si="12"/>
        <v>0</v>
      </c>
      <c r="AQ25" s="103">
        <f t="shared" si="13"/>
        <v>0</v>
      </c>
      <c r="AR25" s="103">
        <f t="shared" si="14"/>
        <v>0</v>
      </c>
      <c r="AS25" s="103"/>
      <c r="AT25" s="103">
        <f t="shared" si="16"/>
        <v>0</v>
      </c>
      <c r="AU25" s="103">
        <f t="shared" si="34"/>
        <v>0</v>
      </c>
      <c r="AV25" s="103">
        <f t="shared" si="17"/>
        <v>0</v>
      </c>
      <c r="AW25" s="103">
        <f t="shared" si="18"/>
        <v>0</v>
      </c>
      <c r="AX25" s="103"/>
      <c r="AY25" s="104">
        <f t="shared" si="19"/>
        <v>0</v>
      </c>
      <c r="AZ25" s="104">
        <f t="shared" si="20"/>
        <v>0</v>
      </c>
      <c r="BA25" s="104">
        <f t="shared" si="21"/>
        <v>0</v>
      </c>
      <c r="BB25" s="104">
        <f t="shared" si="22"/>
        <v>0</v>
      </c>
      <c r="BC25" s="104">
        <f t="shared" si="23"/>
        <v>0</v>
      </c>
      <c r="BD25" s="104">
        <f t="shared" si="24"/>
        <v>0</v>
      </c>
      <c r="BE25" s="104">
        <f t="shared" si="25"/>
        <v>0</v>
      </c>
      <c r="BF25" s="104">
        <f t="shared" si="26"/>
        <v>0</v>
      </c>
      <c r="BG25" s="104">
        <f t="shared" si="27"/>
        <v>0</v>
      </c>
      <c r="BH25" s="104">
        <f t="shared" si="28"/>
        <v>0</v>
      </c>
      <c r="BI25" s="104">
        <f t="shared" si="29"/>
        <v>0</v>
      </c>
      <c r="BJ25" s="104">
        <f t="shared" si="30"/>
        <v>0</v>
      </c>
      <c r="BL25" s="104">
        <f t="shared" si="31"/>
        <v>0</v>
      </c>
      <c r="BM25" s="104">
        <f t="shared" si="32"/>
        <v>0</v>
      </c>
      <c r="BN25" s="104">
        <f t="shared" si="33"/>
        <v>0</v>
      </c>
    </row>
    <row r="26" spans="1:66" s="19" customFormat="1" ht="15" customHeight="1" x14ac:dyDescent="0.3">
      <c r="A26" s="105">
        <v>16</v>
      </c>
      <c r="B26" s="108"/>
      <c r="C26" s="85"/>
      <c r="D26" s="106"/>
      <c r="E26" s="107"/>
      <c r="F26" s="113"/>
      <c r="G26" s="114"/>
      <c r="H26" s="107"/>
      <c r="I26" s="107"/>
      <c r="J26" s="107"/>
      <c r="K26" s="107"/>
      <c r="L26" s="13"/>
      <c r="M26" s="13"/>
      <c r="N26" s="13"/>
      <c r="O26" s="13"/>
      <c r="P26" s="13"/>
      <c r="Q26" s="13"/>
      <c r="R26" s="13"/>
      <c r="S26" s="13"/>
      <c r="T26" s="13"/>
      <c r="U26" s="13"/>
      <c r="V26" s="13"/>
      <c r="W26" s="13"/>
      <c r="X26" s="13"/>
      <c r="AE26" s="103">
        <f t="shared" si="15"/>
        <v>0</v>
      </c>
      <c r="AF26" s="103">
        <f t="shared" si="2"/>
        <v>0</v>
      </c>
      <c r="AG26" s="103">
        <f t="shared" si="3"/>
        <v>0</v>
      </c>
      <c r="AH26" s="103">
        <f t="shared" si="4"/>
        <v>0</v>
      </c>
      <c r="AI26" s="103">
        <f t="shared" si="5"/>
        <v>0</v>
      </c>
      <c r="AJ26" s="103">
        <f t="shared" si="6"/>
        <v>0</v>
      </c>
      <c r="AK26" s="103">
        <f t="shared" si="7"/>
        <v>0</v>
      </c>
      <c r="AL26" s="103">
        <f t="shared" si="8"/>
        <v>0</v>
      </c>
      <c r="AM26" s="103">
        <f t="shared" si="9"/>
        <v>0</v>
      </c>
      <c r="AN26" s="103">
        <f t="shared" si="10"/>
        <v>0</v>
      </c>
      <c r="AO26" s="103">
        <f t="shared" si="11"/>
        <v>0</v>
      </c>
      <c r="AP26" s="103">
        <f t="shared" si="12"/>
        <v>0</v>
      </c>
      <c r="AQ26" s="103">
        <f t="shared" si="13"/>
        <v>0</v>
      </c>
      <c r="AR26" s="103">
        <f t="shared" si="14"/>
        <v>0</v>
      </c>
      <c r="AS26" s="103"/>
      <c r="AT26" s="103">
        <f t="shared" si="16"/>
        <v>0</v>
      </c>
      <c r="AU26" s="103">
        <f t="shared" si="34"/>
        <v>0</v>
      </c>
      <c r="AV26" s="103">
        <f t="shared" si="17"/>
        <v>0</v>
      </c>
      <c r="AW26" s="103">
        <f t="shared" si="18"/>
        <v>0</v>
      </c>
      <c r="AX26" s="103"/>
      <c r="AY26" s="104">
        <f t="shared" si="19"/>
        <v>0</v>
      </c>
      <c r="AZ26" s="104">
        <f t="shared" si="20"/>
        <v>0</v>
      </c>
      <c r="BA26" s="104">
        <f t="shared" si="21"/>
        <v>0</v>
      </c>
      <c r="BB26" s="104">
        <f t="shared" si="22"/>
        <v>0</v>
      </c>
      <c r="BC26" s="104">
        <f t="shared" si="23"/>
        <v>0</v>
      </c>
      <c r="BD26" s="104">
        <f t="shared" si="24"/>
        <v>0</v>
      </c>
      <c r="BE26" s="104">
        <f t="shared" si="25"/>
        <v>0</v>
      </c>
      <c r="BF26" s="104">
        <f t="shared" si="26"/>
        <v>0</v>
      </c>
      <c r="BG26" s="104">
        <f t="shared" si="27"/>
        <v>0</v>
      </c>
      <c r="BH26" s="104">
        <f t="shared" si="28"/>
        <v>0</v>
      </c>
      <c r="BI26" s="104">
        <f t="shared" si="29"/>
        <v>0</v>
      </c>
      <c r="BJ26" s="104">
        <f t="shared" si="30"/>
        <v>0</v>
      </c>
      <c r="BL26" s="104">
        <f t="shared" si="31"/>
        <v>0</v>
      </c>
      <c r="BM26" s="104">
        <f t="shared" si="32"/>
        <v>0</v>
      </c>
      <c r="BN26" s="104">
        <f t="shared" si="33"/>
        <v>0</v>
      </c>
    </row>
    <row r="27" spans="1:66" s="19" customFormat="1" ht="15" customHeight="1" x14ac:dyDescent="0.3">
      <c r="A27" s="105">
        <v>17</v>
      </c>
      <c r="B27" s="108"/>
      <c r="C27" s="85"/>
      <c r="D27" s="106"/>
      <c r="E27" s="107"/>
      <c r="F27" s="113"/>
      <c r="G27" s="114"/>
      <c r="H27" s="107"/>
      <c r="I27" s="107"/>
      <c r="J27" s="107"/>
      <c r="K27" s="107"/>
      <c r="L27" s="13"/>
      <c r="M27" s="13"/>
      <c r="N27" s="13"/>
      <c r="O27" s="13"/>
      <c r="P27" s="13"/>
      <c r="Q27" s="13"/>
      <c r="R27" s="13"/>
      <c r="S27" s="13"/>
      <c r="T27" s="13"/>
      <c r="U27" s="13"/>
      <c r="V27" s="13"/>
      <c r="W27" s="13"/>
      <c r="X27" s="13"/>
      <c r="AE27" s="103">
        <f t="shared" si="15"/>
        <v>0</v>
      </c>
      <c r="AF27" s="103">
        <f t="shared" si="2"/>
        <v>0</v>
      </c>
      <c r="AG27" s="103">
        <f t="shared" si="3"/>
        <v>0</v>
      </c>
      <c r="AH27" s="103">
        <f t="shared" si="4"/>
        <v>0</v>
      </c>
      <c r="AI27" s="103">
        <f t="shared" si="5"/>
        <v>0</v>
      </c>
      <c r="AJ27" s="103">
        <f t="shared" si="6"/>
        <v>0</v>
      </c>
      <c r="AK27" s="103">
        <f t="shared" si="7"/>
        <v>0</v>
      </c>
      <c r="AL27" s="103">
        <f t="shared" si="8"/>
        <v>0</v>
      </c>
      <c r="AM27" s="103">
        <f t="shared" si="9"/>
        <v>0</v>
      </c>
      <c r="AN27" s="103">
        <f t="shared" si="10"/>
        <v>0</v>
      </c>
      <c r="AO27" s="103">
        <f t="shared" si="11"/>
        <v>0</v>
      </c>
      <c r="AP27" s="103">
        <f t="shared" si="12"/>
        <v>0</v>
      </c>
      <c r="AQ27" s="103">
        <f t="shared" si="13"/>
        <v>0</v>
      </c>
      <c r="AR27" s="103">
        <f t="shared" si="14"/>
        <v>0</v>
      </c>
      <c r="AS27" s="103"/>
      <c r="AT27" s="103">
        <f t="shared" si="16"/>
        <v>0</v>
      </c>
      <c r="AU27" s="103">
        <f t="shared" si="34"/>
        <v>0</v>
      </c>
      <c r="AV27" s="103">
        <f t="shared" si="17"/>
        <v>0</v>
      </c>
      <c r="AW27" s="103">
        <f t="shared" si="18"/>
        <v>0</v>
      </c>
      <c r="AX27" s="103"/>
      <c r="AY27" s="104">
        <f t="shared" si="19"/>
        <v>0</v>
      </c>
      <c r="AZ27" s="104">
        <f t="shared" si="20"/>
        <v>0</v>
      </c>
      <c r="BA27" s="104">
        <f t="shared" si="21"/>
        <v>0</v>
      </c>
      <c r="BB27" s="104">
        <f t="shared" si="22"/>
        <v>0</v>
      </c>
      <c r="BC27" s="104">
        <f t="shared" si="23"/>
        <v>0</v>
      </c>
      <c r="BD27" s="104">
        <f t="shared" si="24"/>
        <v>0</v>
      </c>
      <c r="BE27" s="104">
        <f t="shared" si="25"/>
        <v>0</v>
      </c>
      <c r="BF27" s="104">
        <f t="shared" si="26"/>
        <v>0</v>
      </c>
      <c r="BG27" s="104">
        <f t="shared" si="27"/>
        <v>0</v>
      </c>
      <c r="BH27" s="104">
        <f t="shared" si="28"/>
        <v>0</v>
      </c>
      <c r="BI27" s="104">
        <f t="shared" si="29"/>
        <v>0</v>
      </c>
      <c r="BJ27" s="104">
        <f t="shared" si="30"/>
        <v>0</v>
      </c>
      <c r="BL27" s="104">
        <f t="shared" si="31"/>
        <v>0</v>
      </c>
      <c r="BM27" s="104">
        <f t="shared" si="32"/>
        <v>0</v>
      </c>
      <c r="BN27" s="104">
        <f t="shared" si="33"/>
        <v>0</v>
      </c>
    </row>
    <row r="28" spans="1:66" s="19" customFormat="1" ht="15" customHeight="1" x14ac:dyDescent="0.3">
      <c r="A28" s="105">
        <v>18</v>
      </c>
      <c r="B28" s="108"/>
      <c r="C28" s="85"/>
      <c r="D28" s="106"/>
      <c r="E28" s="107"/>
      <c r="F28" s="113"/>
      <c r="G28" s="114"/>
      <c r="H28" s="107"/>
      <c r="I28" s="107"/>
      <c r="J28" s="107"/>
      <c r="K28" s="107"/>
      <c r="L28" s="13"/>
      <c r="M28" s="13"/>
      <c r="N28" s="13"/>
      <c r="O28" s="13"/>
      <c r="P28" s="13"/>
      <c r="Q28" s="13"/>
      <c r="R28" s="13"/>
      <c r="S28" s="13"/>
      <c r="T28" s="13"/>
      <c r="U28" s="13"/>
      <c r="V28" s="13"/>
      <c r="W28" s="13"/>
      <c r="X28" s="13"/>
      <c r="AE28" s="103">
        <f t="shared" si="15"/>
        <v>0</v>
      </c>
      <c r="AF28" s="103">
        <f t="shared" si="2"/>
        <v>0</v>
      </c>
      <c r="AG28" s="103">
        <f t="shared" si="3"/>
        <v>0</v>
      </c>
      <c r="AH28" s="103">
        <f t="shared" si="4"/>
        <v>0</v>
      </c>
      <c r="AI28" s="103">
        <f t="shared" si="5"/>
        <v>0</v>
      </c>
      <c r="AJ28" s="103">
        <f t="shared" si="6"/>
        <v>0</v>
      </c>
      <c r="AK28" s="103">
        <f t="shared" si="7"/>
        <v>0</v>
      </c>
      <c r="AL28" s="103">
        <f t="shared" si="8"/>
        <v>0</v>
      </c>
      <c r="AM28" s="103">
        <f t="shared" si="9"/>
        <v>0</v>
      </c>
      <c r="AN28" s="103">
        <f t="shared" si="10"/>
        <v>0</v>
      </c>
      <c r="AO28" s="103">
        <f t="shared" si="11"/>
        <v>0</v>
      </c>
      <c r="AP28" s="103">
        <f t="shared" si="12"/>
        <v>0</v>
      </c>
      <c r="AQ28" s="103">
        <f t="shared" si="13"/>
        <v>0</v>
      </c>
      <c r="AR28" s="103">
        <f t="shared" si="14"/>
        <v>0</v>
      </c>
      <c r="AS28" s="103"/>
      <c r="AT28" s="103">
        <f t="shared" si="16"/>
        <v>0</v>
      </c>
      <c r="AU28" s="103">
        <f t="shared" si="34"/>
        <v>0</v>
      </c>
      <c r="AV28" s="103">
        <f t="shared" si="17"/>
        <v>0</v>
      </c>
      <c r="AW28" s="103">
        <f t="shared" si="18"/>
        <v>0</v>
      </c>
      <c r="AX28" s="103"/>
      <c r="AY28" s="104">
        <f t="shared" si="19"/>
        <v>0</v>
      </c>
      <c r="AZ28" s="104">
        <f t="shared" si="20"/>
        <v>0</v>
      </c>
      <c r="BA28" s="104">
        <f t="shared" si="21"/>
        <v>0</v>
      </c>
      <c r="BB28" s="104">
        <f t="shared" si="22"/>
        <v>0</v>
      </c>
      <c r="BC28" s="104">
        <f t="shared" si="23"/>
        <v>0</v>
      </c>
      <c r="BD28" s="104">
        <f t="shared" si="24"/>
        <v>0</v>
      </c>
      <c r="BE28" s="104">
        <f t="shared" si="25"/>
        <v>0</v>
      </c>
      <c r="BF28" s="104">
        <f t="shared" si="26"/>
        <v>0</v>
      </c>
      <c r="BG28" s="104">
        <f t="shared" si="27"/>
        <v>0</v>
      </c>
      <c r="BH28" s="104">
        <f t="shared" si="28"/>
        <v>0</v>
      </c>
      <c r="BI28" s="104">
        <f t="shared" si="29"/>
        <v>0</v>
      </c>
      <c r="BJ28" s="104">
        <f t="shared" si="30"/>
        <v>0</v>
      </c>
      <c r="BL28" s="104">
        <f t="shared" si="31"/>
        <v>0</v>
      </c>
      <c r="BM28" s="104">
        <f t="shared" si="32"/>
        <v>0</v>
      </c>
      <c r="BN28" s="104">
        <f t="shared" si="33"/>
        <v>0</v>
      </c>
    </row>
    <row r="29" spans="1:66" s="19" customFormat="1" ht="15" customHeight="1" x14ac:dyDescent="0.3">
      <c r="A29" s="105">
        <v>19</v>
      </c>
      <c r="B29" s="108"/>
      <c r="C29" s="85"/>
      <c r="D29" s="106"/>
      <c r="E29" s="107"/>
      <c r="F29" s="113"/>
      <c r="G29" s="114"/>
      <c r="H29" s="107"/>
      <c r="I29" s="107"/>
      <c r="J29" s="107"/>
      <c r="K29" s="107"/>
      <c r="L29" s="13"/>
      <c r="M29" s="13"/>
      <c r="N29" s="13"/>
      <c r="O29" s="13"/>
      <c r="P29" s="13"/>
      <c r="Q29" s="13"/>
      <c r="R29" s="13"/>
      <c r="S29" s="13"/>
      <c r="T29" s="13"/>
      <c r="U29" s="13"/>
      <c r="V29" s="13"/>
      <c r="W29" s="13"/>
      <c r="X29" s="13"/>
      <c r="AE29" s="103">
        <f t="shared" si="15"/>
        <v>0</v>
      </c>
      <c r="AF29" s="103">
        <f t="shared" si="2"/>
        <v>0</v>
      </c>
      <c r="AG29" s="103">
        <f t="shared" si="3"/>
        <v>0</v>
      </c>
      <c r="AH29" s="103">
        <f t="shared" si="4"/>
        <v>0</v>
      </c>
      <c r="AI29" s="103">
        <f t="shared" si="5"/>
        <v>0</v>
      </c>
      <c r="AJ29" s="103">
        <f t="shared" si="6"/>
        <v>0</v>
      </c>
      <c r="AK29" s="103">
        <f t="shared" si="7"/>
        <v>0</v>
      </c>
      <c r="AL29" s="103">
        <f t="shared" si="8"/>
        <v>0</v>
      </c>
      <c r="AM29" s="103">
        <f t="shared" si="9"/>
        <v>0</v>
      </c>
      <c r="AN29" s="103">
        <f t="shared" si="10"/>
        <v>0</v>
      </c>
      <c r="AO29" s="103">
        <f t="shared" si="11"/>
        <v>0</v>
      </c>
      <c r="AP29" s="103">
        <f t="shared" si="12"/>
        <v>0</v>
      </c>
      <c r="AQ29" s="103">
        <f t="shared" si="13"/>
        <v>0</v>
      </c>
      <c r="AR29" s="103">
        <f t="shared" si="14"/>
        <v>0</v>
      </c>
      <c r="AS29" s="103"/>
      <c r="AT29" s="103">
        <f t="shared" si="16"/>
        <v>0</v>
      </c>
      <c r="AU29" s="103">
        <f t="shared" si="34"/>
        <v>0</v>
      </c>
      <c r="AV29" s="103">
        <f t="shared" si="17"/>
        <v>0</v>
      </c>
      <c r="AW29" s="103">
        <f t="shared" si="18"/>
        <v>0</v>
      </c>
      <c r="AX29" s="103"/>
      <c r="AY29" s="104">
        <f t="shared" si="19"/>
        <v>0</v>
      </c>
      <c r="AZ29" s="104">
        <f t="shared" si="20"/>
        <v>0</v>
      </c>
      <c r="BA29" s="104">
        <f t="shared" si="21"/>
        <v>0</v>
      </c>
      <c r="BB29" s="104">
        <f t="shared" si="22"/>
        <v>0</v>
      </c>
      <c r="BC29" s="104">
        <f t="shared" si="23"/>
        <v>0</v>
      </c>
      <c r="BD29" s="104">
        <f t="shared" si="24"/>
        <v>0</v>
      </c>
      <c r="BE29" s="104">
        <f t="shared" si="25"/>
        <v>0</v>
      </c>
      <c r="BF29" s="104">
        <f t="shared" si="26"/>
        <v>0</v>
      </c>
      <c r="BG29" s="104">
        <f t="shared" si="27"/>
        <v>0</v>
      </c>
      <c r="BH29" s="104">
        <f t="shared" si="28"/>
        <v>0</v>
      </c>
      <c r="BI29" s="104">
        <f t="shared" si="29"/>
        <v>0</v>
      </c>
      <c r="BJ29" s="104">
        <f t="shared" si="30"/>
        <v>0</v>
      </c>
      <c r="BL29" s="104">
        <f t="shared" si="31"/>
        <v>0</v>
      </c>
      <c r="BM29" s="104">
        <f t="shared" si="32"/>
        <v>0</v>
      </c>
      <c r="BN29" s="104">
        <f t="shared" si="33"/>
        <v>0</v>
      </c>
    </row>
    <row r="30" spans="1:66" s="19" customFormat="1" ht="15" customHeight="1" x14ac:dyDescent="0.3">
      <c r="A30" s="105">
        <v>20</v>
      </c>
      <c r="B30" s="108"/>
      <c r="C30" s="85"/>
      <c r="D30" s="106"/>
      <c r="E30" s="107"/>
      <c r="F30" s="113"/>
      <c r="G30" s="114"/>
      <c r="H30" s="107"/>
      <c r="I30" s="107"/>
      <c r="J30" s="107"/>
      <c r="K30" s="107"/>
      <c r="L30" s="13"/>
      <c r="M30" s="13"/>
      <c r="N30" s="13"/>
      <c r="O30" s="13"/>
      <c r="P30" s="13"/>
      <c r="Q30" s="13"/>
      <c r="R30" s="13"/>
      <c r="S30" s="13"/>
      <c r="T30" s="13"/>
      <c r="U30" s="13"/>
      <c r="V30" s="13"/>
      <c r="W30" s="13"/>
      <c r="X30" s="13"/>
      <c r="AE30" s="103">
        <f t="shared" si="15"/>
        <v>0</v>
      </c>
      <c r="AF30" s="103">
        <f t="shared" si="2"/>
        <v>0</v>
      </c>
      <c r="AG30" s="103">
        <f t="shared" si="3"/>
        <v>0</v>
      </c>
      <c r="AH30" s="103">
        <f t="shared" si="4"/>
        <v>0</v>
      </c>
      <c r="AI30" s="103">
        <f t="shared" si="5"/>
        <v>0</v>
      </c>
      <c r="AJ30" s="103">
        <f t="shared" si="6"/>
        <v>0</v>
      </c>
      <c r="AK30" s="103">
        <f t="shared" si="7"/>
        <v>0</v>
      </c>
      <c r="AL30" s="103">
        <f t="shared" si="8"/>
        <v>0</v>
      </c>
      <c r="AM30" s="103">
        <f t="shared" si="9"/>
        <v>0</v>
      </c>
      <c r="AN30" s="103">
        <f t="shared" si="10"/>
        <v>0</v>
      </c>
      <c r="AO30" s="103">
        <f t="shared" si="11"/>
        <v>0</v>
      </c>
      <c r="AP30" s="103">
        <f t="shared" si="12"/>
        <v>0</v>
      </c>
      <c r="AQ30" s="103">
        <f t="shared" si="13"/>
        <v>0</v>
      </c>
      <c r="AR30" s="103">
        <f t="shared" si="14"/>
        <v>0</v>
      </c>
      <c r="AS30" s="103"/>
      <c r="AT30" s="103">
        <f t="shared" si="16"/>
        <v>0</v>
      </c>
      <c r="AU30" s="103">
        <f t="shared" si="34"/>
        <v>0</v>
      </c>
      <c r="AV30" s="103">
        <f t="shared" si="17"/>
        <v>0</v>
      </c>
      <c r="AW30" s="103">
        <f t="shared" si="18"/>
        <v>0</v>
      </c>
      <c r="AX30" s="103"/>
      <c r="AY30" s="104">
        <f t="shared" si="19"/>
        <v>0</v>
      </c>
      <c r="AZ30" s="104">
        <f t="shared" si="20"/>
        <v>0</v>
      </c>
      <c r="BA30" s="104">
        <f t="shared" si="21"/>
        <v>0</v>
      </c>
      <c r="BB30" s="104">
        <f t="shared" si="22"/>
        <v>0</v>
      </c>
      <c r="BC30" s="104">
        <f t="shared" si="23"/>
        <v>0</v>
      </c>
      <c r="BD30" s="104">
        <f t="shared" si="24"/>
        <v>0</v>
      </c>
      <c r="BE30" s="104">
        <f t="shared" si="25"/>
        <v>0</v>
      </c>
      <c r="BF30" s="104">
        <f t="shared" si="26"/>
        <v>0</v>
      </c>
      <c r="BG30" s="104">
        <f t="shared" si="27"/>
        <v>0</v>
      </c>
      <c r="BH30" s="104">
        <f t="shared" si="28"/>
        <v>0</v>
      </c>
      <c r="BI30" s="104">
        <f t="shared" si="29"/>
        <v>0</v>
      </c>
      <c r="BJ30" s="104">
        <f t="shared" si="30"/>
        <v>0</v>
      </c>
      <c r="BL30" s="104">
        <f t="shared" si="31"/>
        <v>0</v>
      </c>
      <c r="BM30" s="104">
        <f t="shared" si="32"/>
        <v>0</v>
      </c>
      <c r="BN30" s="104">
        <f t="shared" si="33"/>
        <v>0</v>
      </c>
    </row>
    <row r="31" spans="1:66" s="19" customFormat="1" ht="15" customHeight="1" x14ac:dyDescent="0.3">
      <c r="A31" s="105">
        <v>21</v>
      </c>
      <c r="B31" s="108"/>
      <c r="C31" s="85"/>
      <c r="D31" s="106"/>
      <c r="E31" s="107"/>
      <c r="F31" s="113"/>
      <c r="G31" s="114"/>
      <c r="H31" s="107"/>
      <c r="I31" s="107"/>
      <c r="J31" s="107"/>
      <c r="K31" s="107"/>
      <c r="L31" s="13"/>
      <c r="M31" s="13"/>
      <c r="N31" s="13"/>
      <c r="O31" s="13"/>
      <c r="P31" s="13"/>
      <c r="Q31" s="13"/>
      <c r="R31" s="13"/>
      <c r="S31" s="13"/>
      <c r="T31" s="13"/>
      <c r="U31" s="13"/>
      <c r="V31" s="13"/>
      <c r="W31" s="13"/>
      <c r="X31" s="13"/>
      <c r="AE31" s="103">
        <f t="shared" si="15"/>
        <v>0</v>
      </c>
      <c r="AF31" s="103">
        <f t="shared" si="2"/>
        <v>0</v>
      </c>
      <c r="AG31" s="103">
        <f t="shared" si="3"/>
        <v>0</v>
      </c>
      <c r="AH31" s="103">
        <f t="shared" si="4"/>
        <v>0</v>
      </c>
      <c r="AI31" s="103">
        <f t="shared" si="5"/>
        <v>0</v>
      </c>
      <c r="AJ31" s="103">
        <f t="shared" si="6"/>
        <v>0</v>
      </c>
      <c r="AK31" s="103">
        <f t="shared" si="7"/>
        <v>0</v>
      </c>
      <c r="AL31" s="103">
        <f t="shared" si="8"/>
        <v>0</v>
      </c>
      <c r="AM31" s="103">
        <f t="shared" si="9"/>
        <v>0</v>
      </c>
      <c r="AN31" s="103">
        <f t="shared" si="10"/>
        <v>0</v>
      </c>
      <c r="AO31" s="103">
        <f t="shared" si="11"/>
        <v>0</v>
      </c>
      <c r="AP31" s="103">
        <f t="shared" si="12"/>
        <v>0</v>
      </c>
      <c r="AQ31" s="103">
        <f t="shared" si="13"/>
        <v>0</v>
      </c>
      <c r="AR31" s="103">
        <f t="shared" si="14"/>
        <v>0</v>
      </c>
      <c r="AS31" s="103"/>
      <c r="AT31" s="103">
        <f t="shared" si="16"/>
        <v>0</v>
      </c>
      <c r="AU31" s="103">
        <f t="shared" si="34"/>
        <v>0</v>
      </c>
      <c r="AV31" s="103">
        <f t="shared" si="17"/>
        <v>0</v>
      </c>
      <c r="AW31" s="103">
        <f t="shared" si="18"/>
        <v>0</v>
      </c>
      <c r="AX31" s="103"/>
      <c r="AY31" s="104">
        <f t="shared" si="19"/>
        <v>0</v>
      </c>
      <c r="AZ31" s="104">
        <f t="shared" si="20"/>
        <v>0</v>
      </c>
      <c r="BA31" s="104">
        <f t="shared" si="21"/>
        <v>0</v>
      </c>
      <c r="BB31" s="104">
        <f t="shared" si="22"/>
        <v>0</v>
      </c>
      <c r="BC31" s="104">
        <f t="shared" si="23"/>
        <v>0</v>
      </c>
      <c r="BD31" s="104">
        <f t="shared" si="24"/>
        <v>0</v>
      </c>
      <c r="BE31" s="104">
        <f t="shared" si="25"/>
        <v>0</v>
      </c>
      <c r="BF31" s="104">
        <f t="shared" si="26"/>
        <v>0</v>
      </c>
      <c r="BG31" s="104">
        <f t="shared" si="27"/>
        <v>0</v>
      </c>
      <c r="BH31" s="104">
        <f t="shared" si="28"/>
        <v>0</v>
      </c>
      <c r="BI31" s="104">
        <f t="shared" si="29"/>
        <v>0</v>
      </c>
      <c r="BJ31" s="104">
        <f t="shared" si="30"/>
        <v>0</v>
      </c>
      <c r="BL31" s="104">
        <f t="shared" si="31"/>
        <v>0</v>
      </c>
      <c r="BM31" s="104">
        <f t="shared" si="32"/>
        <v>0</v>
      </c>
      <c r="BN31" s="104">
        <f t="shared" si="33"/>
        <v>0</v>
      </c>
    </row>
    <row r="32" spans="1:66" s="19" customFormat="1" ht="15" customHeight="1" x14ac:dyDescent="0.3">
      <c r="A32" s="105">
        <v>22</v>
      </c>
      <c r="B32" s="108"/>
      <c r="C32" s="85"/>
      <c r="D32" s="106"/>
      <c r="E32" s="107"/>
      <c r="F32" s="113"/>
      <c r="G32" s="114"/>
      <c r="H32" s="107"/>
      <c r="I32" s="107"/>
      <c r="J32" s="107"/>
      <c r="K32" s="107"/>
      <c r="L32" s="13"/>
      <c r="M32" s="13"/>
      <c r="N32" s="13"/>
      <c r="O32" s="13"/>
      <c r="P32" s="13"/>
      <c r="Q32" s="13"/>
      <c r="R32" s="13"/>
      <c r="S32" s="13"/>
      <c r="T32" s="13"/>
      <c r="U32" s="13"/>
      <c r="V32" s="13"/>
      <c r="W32" s="13"/>
      <c r="X32" s="13"/>
      <c r="AE32" s="103">
        <f t="shared" si="15"/>
        <v>0</v>
      </c>
      <c r="AF32" s="103">
        <f t="shared" si="2"/>
        <v>0</v>
      </c>
      <c r="AG32" s="103">
        <f t="shared" si="3"/>
        <v>0</v>
      </c>
      <c r="AH32" s="103">
        <f t="shared" si="4"/>
        <v>0</v>
      </c>
      <c r="AI32" s="103">
        <f t="shared" si="5"/>
        <v>0</v>
      </c>
      <c r="AJ32" s="103">
        <f t="shared" si="6"/>
        <v>0</v>
      </c>
      <c r="AK32" s="103">
        <f t="shared" si="7"/>
        <v>0</v>
      </c>
      <c r="AL32" s="103">
        <f t="shared" si="8"/>
        <v>0</v>
      </c>
      <c r="AM32" s="103">
        <f t="shared" si="9"/>
        <v>0</v>
      </c>
      <c r="AN32" s="103">
        <f t="shared" si="10"/>
        <v>0</v>
      </c>
      <c r="AO32" s="103">
        <f t="shared" si="11"/>
        <v>0</v>
      </c>
      <c r="AP32" s="103">
        <f t="shared" si="12"/>
        <v>0</v>
      </c>
      <c r="AQ32" s="103">
        <f t="shared" si="13"/>
        <v>0</v>
      </c>
      <c r="AR32" s="103">
        <f t="shared" si="14"/>
        <v>0</v>
      </c>
      <c r="AS32" s="103"/>
      <c r="AT32" s="103">
        <f t="shared" si="16"/>
        <v>0</v>
      </c>
      <c r="AU32" s="103">
        <f t="shared" si="34"/>
        <v>0</v>
      </c>
      <c r="AV32" s="103">
        <f t="shared" si="17"/>
        <v>0</v>
      </c>
      <c r="AW32" s="103">
        <f t="shared" si="18"/>
        <v>0</v>
      </c>
      <c r="AX32" s="103"/>
      <c r="AY32" s="104">
        <f t="shared" si="19"/>
        <v>0</v>
      </c>
      <c r="AZ32" s="104">
        <f t="shared" si="20"/>
        <v>0</v>
      </c>
      <c r="BA32" s="104">
        <f t="shared" si="21"/>
        <v>0</v>
      </c>
      <c r="BB32" s="104">
        <f t="shared" si="22"/>
        <v>0</v>
      </c>
      <c r="BC32" s="104">
        <f t="shared" si="23"/>
        <v>0</v>
      </c>
      <c r="BD32" s="104">
        <f t="shared" si="24"/>
        <v>0</v>
      </c>
      <c r="BE32" s="104">
        <f t="shared" si="25"/>
        <v>0</v>
      </c>
      <c r="BF32" s="104">
        <f t="shared" si="26"/>
        <v>0</v>
      </c>
      <c r="BG32" s="104">
        <f t="shared" si="27"/>
        <v>0</v>
      </c>
      <c r="BH32" s="104">
        <f t="shared" si="28"/>
        <v>0</v>
      </c>
      <c r="BI32" s="104">
        <f t="shared" si="29"/>
        <v>0</v>
      </c>
      <c r="BJ32" s="104">
        <f t="shared" si="30"/>
        <v>0</v>
      </c>
      <c r="BL32" s="104">
        <f t="shared" si="31"/>
        <v>0</v>
      </c>
      <c r="BM32" s="104">
        <f t="shared" si="32"/>
        <v>0</v>
      </c>
      <c r="BN32" s="104">
        <f t="shared" si="33"/>
        <v>0</v>
      </c>
    </row>
    <row r="33" spans="1:66" s="19" customFormat="1" ht="15" customHeight="1" x14ac:dyDescent="0.3">
      <c r="A33" s="105">
        <v>23</v>
      </c>
      <c r="B33" s="108"/>
      <c r="C33" s="85"/>
      <c r="D33" s="106"/>
      <c r="E33" s="107"/>
      <c r="F33" s="113"/>
      <c r="G33" s="114"/>
      <c r="H33" s="107"/>
      <c r="I33" s="107"/>
      <c r="J33" s="107"/>
      <c r="K33" s="107"/>
      <c r="L33" s="13"/>
      <c r="M33" s="13"/>
      <c r="N33" s="13"/>
      <c r="O33" s="13"/>
      <c r="P33" s="13"/>
      <c r="Q33" s="13"/>
      <c r="R33" s="13"/>
      <c r="S33" s="13"/>
      <c r="T33" s="13"/>
      <c r="U33" s="13"/>
      <c r="V33" s="13"/>
      <c r="W33" s="13"/>
      <c r="X33" s="13"/>
      <c r="AE33" s="103">
        <f t="shared" si="15"/>
        <v>0</v>
      </c>
      <c r="AF33" s="103">
        <f t="shared" si="2"/>
        <v>0</v>
      </c>
      <c r="AG33" s="103">
        <f t="shared" si="3"/>
        <v>0</v>
      </c>
      <c r="AH33" s="103">
        <f t="shared" si="4"/>
        <v>0</v>
      </c>
      <c r="AI33" s="103">
        <f t="shared" si="5"/>
        <v>0</v>
      </c>
      <c r="AJ33" s="103">
        <f t="shared" si="6"/>
        <v>0</v>
      </c>
      <c r="AK33" s="103">
        <f t="shared" si="7"/>
        <v>0</v>
      </c>
      <c r="AL33" s="103">
        <f t="shared" si="8"/>
        <v>0</v>
      </c>
      <c r="AM33" s="103">
        <f t="shared" si="9"/>
        <v>0</v>
      </c>
      <c r="AN33" s="103">
        <f t="shared" si="10"/>
        <v>0</v>
      </c>
      <c r="AO33" s="103">
        <f t="shared" si="11"/>
        <v>0</v>
      </c>
      <c r="AP33" s="103">
        <f t="shared" si="12"/>
        <v>0</v>
      </c>
      <c r="AQ33" s="103">
        <f t="shared" si="13"/>
        <v>0</v>
      </c>
      <c r="AR33" s="103">
        <f t="shared" si="14"/>
        <v>0</v>
      </c>
      <c r="AS33" s="103"/>
      <c r="AT33" s="103">
        <f t="shared" si="16"/>
        <v>0</v>
      </c>
      <c r="AU33" s="103">
        <f t="shared" si="34"/>
        <v>0</v>
      </c>
      <c r="AV33" s="103">
        <f t="shared" si="17"/>
        <v>0</v>
      </c>
      <c r="AW33" s="103">
        <f t="shared" si="18"/>
        <v>0</v>
      </c>
      <c r="AX33" s="103"/>
      <c r="AY33" s="104">
        <f t="shared" si="19"/>
        <v>0</v>
      </c>
      <c r="AZ33" s="104">
        <f t="shared" si="20"/>
        <v>0</v>
      </c>
      <c r="BA33" s="104">
        <f t="shared" si="21"/>
        <v>0</v>
      </c>
      <c r="BB33" s="104">
        <f t="shared" si="22"/>
        <v>0</v>
      </c>
      <c r="BC33" s="104">
        <f t="shared" si="23"/>
        <v>0</v>
      </c>
      <c r="BD33" s="104">
        <f t="shared" si="24"/>
        <v>0</v>
      </c>
      <c r="BE33" s="104">
        <f t="shared" si="25"/>
        <v>0</v>
      </c>
      <c r="BF33" s="104">
        <f t="shared" si="26"/>
        <v>0</v>
      </c>
      <c r="BG33" s="104">
        <f t="shared" si="27"/>
        <v>0</v>
      </c>
      <c r="BH33" s="104">
        <f t="shared" si="28"/>
        <v>0</v>
      </c>
      <c r="BI33" s="104">
        <f t="shared" si="29"/>
        <v>0</v>
      </c>
      <c r="BJ33" s="104">
        <f t="shared" si="30"/>
        <v>0</v>
      </c>
      <c r="BL33" s="104">
        <f t="shared" si="31"/>
        <v>0</v>
      </c>
      <c r="BM33" s="104">
        <f t="shared" si="32"/>
        <v>0</v>
      </c>
      <c r="BN33" s="104">
        <f t="shared" si="33"/>
        <v>0</v>
      </c>
    </row>
    <row r="34" spans="1:66" s="19" customFormat="1" ht="15" customHeight="1" x14ac:dyDescent="0.3">
      <c r="A34" s="105">
        <v>24</v>
      </c>
      <c r="B34" s="108"/>
      <c r="C34" s="85"/>
      <c r="D34" s="106"/>
      <c r="E34" s="107"/>
      <c r="F34" s="113"/>
      <c r="G34" s="114"/>
      <c r="H34" s="107"/>
      <c r="I34" s="107"/>
      <c r="J34" s="107"/>
      <c r="K34" s="107"/>
      <c r="L34" s="13"/>
      <c r="M34" s="13"/>
      <c r="N34" s="13"/>
      <c r="O34" s="13"/>
      <c r="P34" s="13"/>
      <c r="Q34" s="13"/>
      <c r="R34" s="13"/>
      <c r="S34" s="13"/>
      <c r="T34" s="13"/>
      <c r="U34" s="13"/>
      <c r="V34" s="13"/>
      <c r="W34" s="13"/>
      <c r="X34" s="13"/>
      <c r="AE34" s="103">
        <f t="shared" si="15"/>
        <v>0</v>
      </c>
      <c r="AF34" s="103">
        <f t="shared" si="2"/>
        <v>0</v>
      </c>
      <c r="AG34" s="103">
        <f t="shared" si="3"/>
        <v>0</v>
      </c>
      <c r="AH34" s="103">
        <f t="shared" si="4"/>
        <v>0</v>
      </c>
      <c r="AI34" s="103">
        <f t="shared" si="5"/>
        <v>0</v>
      </c>
      <c r="AJ34" s="103">
        <f t="shared" si="6"/>
        <v>0</v>
      </c>
      <c r="AK34" s="103">
        <f t="shared" si="7"/>
        <v>0</v>
      </c>
      <c r="AL34" s="103">
        <f t="shared" si="8"/>
        <v>0</v>
      </c>
      <c r="AM34" s="103">
        <f t="shared" si="9"/>
        <v>0</v>
      </c>
      <c r="AN34" s="103">
        <f t="shared" si="10"/>
        <v>0</v>
      </c>
      <c r="AO34" s="103">
        <f t="shared" si="11"/>
        <v>0</v>
      </c>
      <c r="AP34" s="103">
        <f t="shared" si="12"/>
        <v>0</v>
      </c>
      <c r="AQ34" s="103">
        <f t="shared" si="13"/>
        <v>0</v>
      </c>
      <c r="AR34" s="103">
        <f t="shared" si="14"/>
        <v>0</v>
      </c>
      <c r="AS34" s="103"/>
      <c r="AT34" s="103">
        <f t="shared" si="16"/>
        <v>0</v>
      </c>
      <c r="AU34" s="103">
        <f t="shared" si="34"/>
        <v>0</v>
      </c>
      <c r="AV34" s="103">
        <f t="shared" si="17"/>
        <v>0</v>
      </c>
      <c r="AW34" s="103">
        <f t="shared" si="18"/>
        <v>0</v>
      </c>
      <c r="AX34" s="103"/>
      <c r="AY34" s="104">
        <f t="shared" si="19"/>
        <v>0</v>
      </c>
      <c r="AZ34" s="104">
        <f t="shared" si="20"/>
        <v>0</v>
      </c>
      <c r="BA34" s="104">
        <f t="shared" si="21"/>
        <v>0</v>
      </c>
      <c r="BB34" s="104">
        <f t="shared" si="22"/>
        <v>0</v>
      </c>
      <c r="BC34" s="104">
        <f t="shared" si="23"/>
        <v>0</v>
      </c>
      <c r="BD34" s="104">
        <f t="shared" si="24"/>
        <v>0</v>
      </c>
      <c r="BE34" s="104">
        <f t="shared" si="25"/>
        <v>0</v>
      </c>
      <c r="BF34" s="104">
        <f t="shared" si="26"/>
        <v>0</v>
      </c>
      <c r="BG34" s="104">
        <f t="shared" si="27"/>
        <v>0</v>
      </c>
      <c r="BH34" s="104">
        <f t="shared" si="28"/>
        <v>0</v>
      </c>
      <c r="BI34" s="104">
        <f t="shared" si="29"/>
        <v>0</v>
      </c>
      <c r="BJ34" s="104">
        <f t="shared" si="30"/>
        <v>0</v>
      </c>
      <c r="BL34" s="104">
        <f t="shared" si="31"/>
        <v>0</v>
      </c>
      <c r="BM34" s="104">
        <f t="shared" si="32"/>
        <v>0</v>
      </c>
      <c r="BN34" s="104">
        <f t="shared" si="33"/>
        <v>0</v>
      </c>
    </row>
    <row r="35" spans="1:66" s="19" customFormat="1" ht="13.5" customHeight="1" x14ac:dyDescent="0.3">
      <c r="A35" s="122"/>
      <c r="B35" s="123"/>
      <c r="C35" s="73"/>
      <c r="D35" s="32"/>
      <c r="E35" s="124"/>
      <c r="F35" s="125"/>
      <c r="G35" s="126"/>
      <c r="H35" s="124"/>
      <c r="I35" s="124"/>
      <c r="J35" s="124"/>
      <c r="K35" s="124"/>
      <c r="L35" s="13"/>
      <c r="M35" s="13"/>
      <c r="N35" s="13"/>
      <c r="O35" s="13"/>
      <c r="P35" s="13"/>
      <c r="Q35" s="13"/>
      <c r="R35" s="13"/>
      <c r="S35" s="13"/>
      <c r="T35" s="13"/>
      <c r="U35" s="13"/>
      <c r="V35" s="13"/>
      <c r="W35" s="13"/>
      <c r="X35" s="13"/>
      <c r="AE35" s="103">
        <f t="shared" si="15"/>
        <v>0</v>
      </c>
      <c r="AF35" s="103">
        <f t="shared" si="2"/>
        <v>0</v>
      </c>
      <c r="AG35" s="103">
        <f t="shared" si="3"/>
        <v>0</v>
      </c>
      <c r="AH35" s="103">
        <f t="shared" si="4"/>
        <v>0</v>
      </c>
      <c r="AI35" s="103">
        <f t="shared" si="5"/>
        <v>0</v>
      </c>
      <c r="AJ35" s="103">
        <f t="shared" si="6"/>
        <v>0</v>
      </c>
      <c r="AK35" s="103">
        <f t="shared" si="7"/>
        <v>0</v>
      </c>
      <c r="AL35" s="103">
        <f t="shared" si="8"/>
        <v>0</v>
      </c>
      <c r="AM35" s="103">
        <f t="shared" si="9"/>
        <v>0</v>
      </c>
      <c r="AN35" s="103">
        <f t="shared" si="10"/>
        <v>0</v>
      </c>
      <c r="AO35" s="103">
        <f t="shared" si="11"/>
        <v>0</v>
      </c>
      <c r="AP35" s="103">
        <f t="shared" si="12"/>
        <v>0</v>
      </c>
      <c r="AQ35" s="103">
        <f t="shared" si="13"/>
        <v>0</v>
      </c>
      <c r="AR35" s="103">
        <f t="shared" si="14"/>
        <v>0</v>
      </c>
      <c r="AS35" s="103"/>
      <c r="AT35" s="103">
        <f t="shared" si="16"/>
        <v>0</v>
      </c>
      <c r="AU35" s="103">
        <f t="shared" si="34"/>
        <v>0</v>
      </c>
      <c r="AV35" s="103">
        <f t="shared" si="17"/>
        <v>0</v>
      </c>
      <c r="AW35" s="103">
        <f t="shared" si="18"/>
        <v>0</v>
      </c>
      <c r="AX35" s="103"/>
      <c r="AY35" s="104">
        <f t="shared" si="19"/>
        <v>0</v>
      </c>
      <c r="AZ35" s="104">
        <f t="shared" si="20"/>
        <v>0</v>
      </c>
      <c r="BA35" s="104">
        <f t="shared" si="21"/>
        <v>0</v>
      </c>
      <c r="BB35" s="104">
        <f t="shared" si="22"/>
        <v>0</v>
      </c>
      <c r="BC35" s="104">
        <f t="shared" si="23"/>
        <v>0</v>
      </c>
      <c r="BD35" s="104">
        <f t="shared" si="24"/>
        <v>0</v>
      </c>
      <c r="BE35" s="104">
        <f t="shared" si="25"/>
        <v>0</v>
      </c>
      <c r="BF35" s="104">
        <f t="shared" si="26"/>
        <v>0</v>
      </c>
      <c r="BG35" s="104">
        <f t="shared" si="27"/>
        <v>0</v>
      </c>
      <c r="BH35" s="104">
        <f t="shared" si="28"/>
        <v>0</v>
      </c>
      <c r="BI35" s="104">
        <f t="shared" si="29"/>
        <v>0</v>
      </c>
      <c r="BJ35" s="104">
        <f t="shared" si="30"/>
        <v>0</v>
      </c>
      <c r="BL35" s="104">
        <f t="shared" si="31"/>
        <v>0</v>
      </c>
      <c r="BM35" s="104">
        <f t="shared" si="32"/>
        <v>0</v>
      </c>
      <c r="BN35" s="104">
        <f t="shared" si="33"/>
        <v>0</v>
      </c>
    </row>
    <row r="36" spans="1:66" s="19" customFormat="1" ht="13.5" customHeight="1" x14ac:dyDescent="0.3">
      <c r="A36" s="115">
        <v>25</v>
      </c>
      <c r="B36" s="116"/>
      <c r="C36" s="117"/>
      <c r="D36" s="118"/>
      <c r="E36" s="119"/>
      <c r="F36" s="120"/>
      <c r="G36" s="121"/>
      <c r="H36" s="119"/>
      <c r="I36" s="119"/>
      <c r="J36" s="119"/>
      <c r="K36" s="119"/>
      <c r="L36" s="13" t="s">
        <v>99</v>
      </c>
      <c r="M36" s="13"/>
      <c r="N36" s="13"/>
      <c r="O36" s="13"/>
      <c r="P36" s="13"/>
      <c r="Q36" s="13"/>
      <c r="R36" s="13"/>
      <c r="S36" s="13"/>
      <c r="T36" s="13"/>
      <c r="U36" s="13"/>
      <c r="V36" s="13"/>
      <c r="W36" s="13"/>
      <c r="X36" s="13"/>
      <c r="AE36" s="103"/>
      <c r="AF36" s="103"/>
      <c r="AG36" s="103"/>
      <c r="AH36" s="103"/>
      <c r="AI36" s="103"/>
      <c r="AJ36" s="103"/>
      <c r="AK36" s="103"/>
      <c r="AL36" s="103"/>
      <c r="AM36" s="103"/>
      <c r="AN36" s="103"/>
      <c r="AO36" s="103"/>
      <c r="AP36" s="103"/>
      <c r="AQ36" s="103"/>
      <c r="AR36" s="103"/>
      <c r="AS36" s="103"/>
      <c r="AT36" s="103"/>
      <c r="AU36" s="103"/>
      <c r="AV36" s="103"/>
      <c r="AW36" s="103"/>
      <c r="AX36" s="103"/>
      <c r="AY36" s="104"/>
      <c r="AZ36" s="104"/>
      <c r="BA36" s="104"/>
      <c r="BB36" s="104"/>
      <c r="BC36" s="104"/>
      <c r="BD36" s="104"/>
      <c r="BE36" s="104"/>
      <c r="BF36" s="104"/>
      <c r="BG36" s="104"/>
      <c r="BH36" s="104"/>
      <c r="BI36" s="104"/>
      <c r="BJ36" s="104"/>
      <c r="BL36" s="104"/>
      <c r="BM36" s="104"/>
      <c r="BN36" s="104"/>
    </row>
    <row r="37" spans="1:66" s="19" customFormat="1" ht="15" customHeight="1" x14ac:dyDescent="0.3">
      <c r="A37" s="96">
        <v>26</v>
      </c>
      <c r="B37" s="97"/>
      <c r="C37" s="98"/>
      <c r="D37" s="99"/>
      <c r="E37" s="100"/>
      <c r="F37" s="101"/>
      <c r="G37" s="102"/>
      <c r="H37" s="100"/>
      <c r="I37" s="100"/>
      <c r="J37" s="100"/>
      <c r="K37" s="100"/>
      <c r="M37" s="13"/>
      <c r="N37" s="13"/>
      <c r="O37" s="13"/>
      <c r="P37" s="13"/>
      <c r="Q37" s="13"/>
      <c r="R37" s="13"/>
      <c r="S37" s="13"/>
      <c r="T37" s="13"/>
      <c r="U37" s="13"/>
      <c r="V37" s="13"/>
      <c r="W37" s="13"/>
      <c r="X37" s="13"/>
      <c r="AE37" s="103">
        <f t="shared" si="15"/>
        <v>0</v>
      </c>
      <c r="AF37" s="103">
        <f t="shared" si="2"/>
        <v>0</v>
      </c>
      <c r="AG37" s="103">
        <f t="shared" si="3"/>
        <v>0</v>
      </c>
      <c r="AH37" s="103">
        <f t="shared" si="4"/>
        <v>0</v>
      </c>
      <c r="AI37" s="103">
        <f t="shared" si="5"/>
        <v>0</v>
      </c>
      <c r="AJ37" s="103">
        <f t="shared" si="6"/>
        <v>0</v>
      </c>
      <c r="AK37" s="103">
        <f t="shared" si="7"/>
        <v>0</v>
      </c>
      <c r="AL37" s="103">
        <f t="shared" si="8"/>
        <v>0</v>
      </c>
      <c r="AM37" s="103">
        <f t="shared" si="9"/>
        <v>0</v>
      </c>
      <c r="AN37" s="103">
        <f t="shared" si="10"/>
        <v>0</v>
      </c>
      <c r="AO37" s="103">
        <f t="shared" si="11"/>
        <v>0</v>
      </c>
      <c r="AP37" s="103">
        <f t="shared" si="12"/>
        <v>0</v>
      </c>
      <c r="AQ37" s="103">
        <f t="shared" si="13"/>
        <v>0</v>
      </c>
      <c r="AR37" s="103">
        <f t="shared" si="14"/>
        <v>0</v>
      </c>
      <c r="AS37" s="103"/>
      <c r="AT37" s="103">
        <f t="shared" si="16"/>
        <v>0</v>
      </c>
      <c r="AU37" s="103">
        <f t="shared" si="34"/>
        <v>0</v>
      </c>
      <c r="AV37" s="103">
        <f t="shared" si="17"/>
        <v>0</v>
      </c>
      <c r="AW37" s="103">
        <f t="shared" si="18"/>
        <v>0</v>
      </c>
      <c r="AX37" s="103"/>
      <c r="AY37" s="104">
        <f t="shared" si="19"/>
        <v>0</v>
      </c>
      <c r="AZ37" s="104">
        <f t="shared" si="20"/>
        <v>0</v>
      </c>
      <c r="BA37" s="104">
        <f t="shared" si="21"/>
        <v>0</v>
      </c>
      <c r="BB37" s="104">
        <f t="shared" si="22"/>
        <v>0</v>
      </c>
      <c r="BC37" s="104">
        <f t="shared" si="23"/>
        <v>0</v>
      </c>
      <c r="BD37" s="104">
        <f t="shared" si="24"/>
        <v>0</v>
      </c>
      <c r="BE37" s="104">
        <f t="shared" si="25"/>
        <v>0</v>
      </c>
      <c r="BF37" s="104">
        <f t="shared" si="26"/>
        <v>0</v>
      </c>
      <c r="BG37" s="104">
        <f t="shared" si="27"/>
        <v>0</v>
      </c>
      <c r="BH37" s="104">
        <f t="shared" si="28"/>
        <v>0</v>
      </c>
      <c r="BI37" s="104">
        <f t="shared" si="29"/>
        <v>0</v>
      </c>
      <c r="BJ37" s="104">
        <f t="shared" si="30"/>
        <v>0</v>
      </c>
      <c r="BL37" s="104">
        <f t="shared" si="31"/>
        <v>0</v>
      </c>
      <c r="BM37" s="104">
        <f t="shared" si="32"/>
        <v>0</v>
      </c>
      <c r="BN37" s="104">
        <f t="shared" si="33"/>
        <v>0</v>
      </c>
    </row>
    <row r="38" spans="1:66" s="19" customFormat="1" ht="15" customHeight="1" x14ac:dyDescent="0.3">
      <c r="A38" s="105">
        <v>27</v>
      </c>
      <c r="B38" s="108"/>
      <c r="C38" s="85"/>
      <c r="D38" s="106"/>
      <c r="E38" s="107"/>
      <c r="F38" s="113"/>
      <c r="G38" s="114"/>
      <c r="H38" s="107"/>
      <c r="I38" s="107"/>
      <c r="J38" s="107"/>
      <c r="K38" s="107"/>
      <c r="L38" s="13"/>
      <c r="M38" s="13"/>
      <c r="N38" s="13"/>
      <c r="O38" s="13"/>
      <c r="P38" s="13"/>
      <c r="Q38" s="13"/>
      <c r="R38" s="13"/>
      <c r="S38" s="13"/>
      <c r="T38" s="13"/>
      <c r="U38" s="13"/>
      <c r="V38" s="13"/>
      <c r="W38" s="13"/>
      <c r="X38" s="13"/>
      <c r="AE38" s="103">
        <f t="shared" si="15"/>
        <v>0</v>
      </c>
      <c r="AF38" s="103">
        <f t="shared" si="2"/>
        <v>0</v>
      </c>
      <c r="AG38" s="103">
        <f t="shared" si="3"/>
        <v>0</v>
      </c>
      <c r="AH38" s="103">
        <f t="shared" si="4"/>
        <v>0</v>
      </c>
      <c r="AI38" s="103">
        <f t="shared" si="5"/>
        <v>0</v>
      </c>
      <c r="AJ38" s="103">
        <f t="shared" si="6"/>
        <v>0</v>
      </c>
      <c r="AK38" s="103">
        <f t="shared" si="7"/>
        <v>0</v>
      </c>
      <c r="AL38" s="103">
        <f t="shared" si="8"/>
        <v>0</v>
      </c>
      <c r="AM38" s="103">
        <f t="shared" si="9"/>
        <v>0</v>
      </c>
      <c r="AN38" s="103">
        <f t="shared" si="10"/>
        <v>0</v>
      </c>
      <c r="AO38" s="103">
        <f t="shared" si="11"/>
        <v>0</v>
      </c>
      <c r="AP38" s="103">
        <f t="shared" si="12"/>
        <v>0</v>
      </c>
      <c r="AQ38" s="103">
        <f t="shared" si="13"/>
        <v>0</v>
      </c>
      <c r="AR38" s="103">
        <f t="shared" si="14"/>
        <v>0</v>
      </c>
      <c r="AS38" s="103"/>
      <c r="AT38" s="103">
        <f t="shared" si="16"/>
        <v>0</v>
      </c>
      <c r="AU38" s="103">
        <f t="shared" si="34"/>
        <v>0</v>
      </c>
      <c r="AV38" s="103">
        <f t="shared" si="17"/>
        <v>0</v>
      </c>
      <c r="AW38" s="103">
        <f t="shared" si="18"/>
        <v>0</v>
      </c>
      <c r="AX38" s="103"/>
      <c r="AY38" s="104">
        <f t="shared" si="19"/>
        <v>0</v>
      </c>
      <c r="AZ38" s="104">
        <f t="shared" si="20"/>
        <v>0</v>
      </c>
      <c r="BA38" s="104">
        <f t="shared" si="21"/>
        <v>0</v>
      </c>
      <c r="BB38" s="104">
        <f t="shared" si="22"/>
        <v>0</v>
      </c>
      <c r="BC38" s="104">
        <f t="shared" si="23"/>
        <v>0</v>
      </c>
      <c r="BD38" s="104">
        <f t="shared" si="24"/>
        <v>0</v>
      </c>
      <c r="BE38" s="104">
        <f t="shared" si="25"/>
        <v>0</v>
      </c>
      <c r="BF38" s="104">
        <f t="shared" si="26"/>
        <v>0</v>
      </c>
      <c r="BG38" s="104">
        <f t="shared" si="27"/>
        <v>0</v>
      </c>
      <c r="BH38" s="104">
        <f t="shared" si="28"/>
        <v>0</v>
      </c>
      <c r="BI38" s="104">
        <f t="shared" si="29"/>
        <v>0</v>
      </c>
      <c r="BJ38" s="104">
        <f t="shared" si="30"/>
        <v>0</v>
      </c>
      <c r="BL38" s="104">
        <f t="shared" si="31"/>
        <v>0</v>
      </c>
      <c r="BM38" s="104">
        <f t="shared" si="32"/>
        <v>0</v>
      </c>
      <c r="BN38" s="104">
        <f t="shared" si="33"/>
        <v>0</v>
      </c>
    </row>
    <row r="39" spans="1:66" s="19" customFormat="1" ht="15" customHeight="1" x14ac:dyDescent="0.3">
      <c r="A39" s="105">
        <v>28</v>
      </c>
      <c r="B39" s="108"/>
      <c r="C39" s="85"/>
      <c r="D39" s="106"/>
      <c r="E39" s="107"/>
      <c r="F39" s="113"/>
      <c r="G39" s="114"/>
      <c r="H39" s="107"/>
      <c r="I39" s="107"/>
      <c r="J39" s="107"/>
      <c r="K39" s="107"/>
      <c r="L39" s="13"/>
      <c r="M39" s="13"/>
      <c r="N39" s="13"/>
      <c r="O39" s="13"/>
      <c r="P39" s="13"/>
      <c r="Q39" s="13"/>
      <c r="R39" s="13"/>
      <c r="S39" s="13"/>
      <c r="T39" s="13"/>
      <c r="U39" s="13"/>
      <c r="V39" s="13"/>
      <c r="W39" s="13"/>
      <c r="X39" s="13"/>
      <c r="AE39" s="103">
        <f t="shared" si="15"/>
        <v>0</v>
      </c>
      <c r="AF39" s="103">
        <f t="shared" si="2"/>
        <v>0</v>
      </c>
      <c r="AG39" s="103">
        <f t="shared" si="3"/>
        <v>0</v>
      </c>
      <c r="AH39" s="103">
        <f t="shared" si="4"/>
        <v>0</v>
      </c>
      <c r="AI39" s="103">
        <f t="shared" si="5"/>
        <v>0</v>
      </c>
      <c r="AJ39" s="103">
        <f t="shared" si="6"/>
        <v>0</v>
      </c>
      <c r="AK39" s="103">
        <f t="shared" si="7"/>
        <v>0</v>
      </c>
      <c r="AL39" s="103">
        <f t="shared" si="8"/>
        <v>0</v>
      </c>
      <c r="AM39" s="103">
        <f t="shared" si="9"/>
        <v>0</v>
      </c>
      <c r="AN39" s="103">
        <f t="shared" si="10"/>
        <v>0</v>
      </c>
      <c r="AO39" s="103">
        <f t="shared" si="11"/>
        <v>0</v>
      </c>
      <c r="AP39" s="103">
        <f t="shared" si="12"/>
        <v>0</v>
      </c>
      <c r="AQ39" s="103">
        <f t="shared" si="13"/>
        <v>0</v>
      </c>
      <c r="AR39" s="103">
        <f t="shared" si="14"/>
        <v>0</v>
      </c>
      <c r="AS39" s="103"/>
      <c r="AT39" s="103">
        <f t="shared" si="16"/>
        <v>0</v>
      </c>
      <c r="AU39" s="103">
        <f t="shared" si="34"/>
        <v>0</v>
      </c>
      <c r="AV39" s="103">
        <f t="shared" si="17"/>
        <v>0</v>
      </c>
      <c r="AW39" s="103">
        <f t="shared" si="18"/>
        <v>0</v>
      </c>
      <c r="AX39" s="103"/>
      <c r="AY39" s="104">
        <f t="shared" si="19"/>
        <v>0</v>
      </c>
      <c r="AZ39" s="104">
        <f t="shared" si="20"/>
        <v>0</v>
      </c>
      <c r="BA39" s="104">
        <f t="shared" si="21"/>
        <v>0</v>
      </c>
      <c r="BB39" s="104">
        <f t="shared" si="22"/>
        <v>0</v>
      </c>
      <c r="BC39" s="104">
        <f t="shared" si="23"/>
        <v>0</v>
      </c>
      <c r="BD39" s="104">
        <f t="shared" si="24"/>
        <v>0</v>
      </c>
      <c r="BE39" s="104">
        <f t="shared" si="25"/>
        <v>0</v>
      </c>
      <c r="BF39" s="104">
        <f t="shared" si="26"/>
        <v>0</v>
      </c>
      <c r="BG39" s="104">
        <f t="shared" si="27"/>
        <v>0</v>
      </c>
      <c r="BH39" s="104">
        <f t="shared" si="28"/>
        <v>0</v>
      </c>
      <c r="BI39" s="104">
        <f t="shared" si="29"/>
        <v>0</v>
      </c>
      <c r="BJ39" s="104">
        <f t="shared" si="30"/>
        <v>0</v>
      </c>
      <c r="BL39" s="104">
        <f t="shared" si="31"/>
        <v>0</v>
      </c>
      <c r="BM39" s="104">
        <f t="shared" si="32"/>
        <v>0</v>
      </c>
      <c r="BN39" s="104">
        <f t="shared" si="33"/>
        <v>0</v>
      </c>
    </row>
    <row r="40" spans="1:66" s="19" customFormat="1" ht="15" customHeight="1" x14ac:dyDescent="0.3">
      <c r="A40" s="105">
        <v>29</v>
      </c>
      <c r="B40" s="108"/>
      <c r="C40" s="85"/>
      <c r="D40" s="106"/>
      <c r="E40" s="107"/>
      <c r="F40" s="113"/>
      <c r="G40" s="114"/>
      <c r="H40" s="107"/>
      <c r="I40" s="107"/>
      <c r="J40" s="107"/>
      <c r="K40" s="107"/>
      <c r="L40" s="13"/>
      <c r="M40" s="13"/>
      <c r="N40" s="13"/>
      <c r="O40" s="13"/>
      <c r="P40" s="13"/>
      <c r="Q40" s="13"/>
      <c r="R40" s="13"/>
      <c r="S40" s="13"/>
      <c r="T40" s="13"/>
      <c r="U40" s="13"/>
      <c r="V40" s="13"/>
      <c r="W40" s="13"/>
      <c r="X40" s="13"/>
      <c r="AE40" s="103">
        <f t="shared" si="15"/>
        <v>0</v>
      </c>
      <c r="AF40" s="103">
        <f t="shared" si="2"/>
        <v>0</v>
      </c>
      <c r="AG40" s="103">
        <f t="shared" si="3"/>
        <v>0</v>
      </c>
      <c r="AH40" s="103">
        <f t="shared" si="4"/>
        <v>0</v>
      </c>
      <c r="AI40" s="103">
        <f t="shared" si="5"/>
        <v>0</v>
      </c>
      <c r="AJ40" s="103">
        <f t="shared" si="6"/>
        <v>0</v>
      </c>
      <c r="AK40" s="103">
        <f t="shared" si="7"/>
        <v>0</v>
      </c>
      <c r="AL40" s="103">
        <f t="shared" si="8"/>
        <v>0</v>
      </c>
      <c r="AM40" s="103">
        <f t="shared" si="9"/>
        <v>0</v>
      </c>
      <c r="AN40" s="103">
        <f t="shared" si="10"/>
        <v>0</v>
      </c>
      <c r="AO40" s="103">
        <f t="shared" si="11"/>
        <v>0</v>
      </c>
      <c r="AP40" s="103">
        <f t="shared" si="12"/>
        <v>0</v>
      </c>
      <c r="AQ40" s="103">
        <f t="shared" si="13"/>
        <v>0</v>
      </c>
      <c r="AR40" s="103">
        <f t="shared" si="14"/>
        <v>0</v>
      </c>
      <c r="AS40" s="103"/>
      <c r="AT40" s="103">
        <f t="shared" si="16"/>
        <v>0</v>
      </c>
      <c r="AU40" s="103">
        <f t="shared" si="34"/>
        <v>0</v>
      </c>
      <c r="AV40" s="103">
        <f t="shared" si="17"/>
        <v>0</v>
      </c>
      <c r="AW40" s="103">
        <f t="shared" si="18"/>
        <v>0</v>
      </c>
      <c r="AX40" s="103"/>
      <c r="AY40" s="104">
        <f t="shared" si="19"/>
        <v>0</v>
      </c>
      <c r="AZ40" s="104">
        <f t="shared" si="20"/>
        <v>0</v>
      </c>
      <c r="BA40" s="104">
        <f t="shared" si="21"/>
        <v>0</v>
      </c>
      <c r="BB40" s="104">
        <f t="shared" si="22"/>
        <v>0</v>
      </c>
      <c r="BC40" s="104">
        <f t="shared" si="23"/>
        <v>0</v>
      </c>
      <c r="BD40" s="104">
        <f t="shared" si="24"/>
        <v>0</v>
      </c>
      <c r="BE40" s="104">
        <f t="shared" si="25"/>
        <v>0</v>
      </c>
      <c r="BF40" s="104">
        <f t="shared" si="26"/>
        <v>0</v>
      </c>
      <c r="BG40" s="104">
        <f t="shared" si="27"/>
        <v>0</v>
      </c>
      <c r="BH40" s="104">
        <f t="shared" si="28"/>
        <v>0</v>
      </c>
      <c r="BI40" s="104">
        <f t="shared" si="29"/>
        <v>0</v>
      </c>
      <c r="BJ40" s="104">
        <f t="shared" si="30"/>
        <v>0</v>
      </c>
      <c r="BL40" s="104">
        <f t="shared" si="31"/>
        <v>0</v>
      </c>
      <c r="BM40" s="104">
        <f t="shared" si="32"/>
        <v>0</v>
      </c>
      <c r="BN40" s="104">
        <f t="shared" si="33"/>
        <v>0</v>
      </c>
    </row>
    <row r="41" spans="1:66" s="19" customFormat="1" ht="15" customHeight="1" x14ac:dyDescent="0.3">
      <c r="A41" s="105">
        <v>30</v>
      </c>
      <c r="B41" s="108"/>
      <c r="C41" s="85"/>
      <c r="D41" s="106"/>
      <c r="E41" s="107"/>
      <c r="F41" s="113"/>
      <c r="G41" s="114"/>
      <c r="H41" s="107"/>
      <c r="I41" s="107"/>
      <c r="J41" s="107"/>
      <c r="K41" s="107"/>
      <c r="L41" s="13"/>
      <c r="M41" s="13"/>
      <c r="N41" s="13"/>
      <c r="O41" s="13"/>
      <c r="P41" s="13"/>
      <c r="Q41" s="13"/>
      <c r="R41" s="13"/>
      <c r="S41" s="13"/>
      <c r="T41" s="13"/>
      <c r="U41" s="13"/>
      <c r="V41" s="13"/>
      <c r="W41" s="13"/>
      <c r="X41" s="13"/>
      <c r="AE41" s="103">
        <f t="shared" si="15"/>
        <v>0</v>
      </c>
      <c r="AF41" s="103">
        <f t="shared" si="2"/>
        <v>0</v>
      </c>
      <c r="AG41" s="103">
        <f t="shared" si="3"/>
        <v>0</v>
      </c>
      <c r="AH41" s="103">
        <f t="shared" si="4"/>
        <v>0</v>
      </c>
      <c r="AI41" s="103">
        <f t="shared" si="5"/>
        <v>0</v>
      </c>
      <c r="AJ41" s="103">
        <f t="shared" si="6"/>
        <v>0</v>
      </c>
      <c r="AK41" s="103">
        <f t="shared" si="7"/>
        <v>0</v>
      </c>
      <c r="AL41" s="103">
        <f t="shared" si="8"/>
        <v>0</v>
      </c>
      <c r="AM41" s="103">
        <f t="shared" si="9"/>
        <v>0</v>
      </c>
      <c r="AN41" s="103">
        <f t="shared" si="10"/>
        <v>0</v>
      </c>
      <c r="AO41" s="103">
        <f t="shared" si="11"/>
        <v>0</v>
      </c>
      <c r="AP41" s="103">
        <f t="shared" si="12"/>
        <v>0</v>
      </c>
      <c r="AQ41" s="103">
        <f t="shared" si="13"/>
        <v>0</v>
      </c>
      <c r="AR41" s="103">
        <f t="shared" si="14"/>
        <v>0</v>
      </c>
      <c r="AS41" s="103"/>
      <c r="AT41" s="103">
        <f t="shared" si="16"/>
        <v>0</v>
      </c>
      <c r="AU41" s="103">
        <f t="shared" si="34"/>
        <v>0</v>
      </c>
      <c r="AV41" s="103">
        <f t="shared" si="17"/>
        <v>0</v>
      </c>
      <c r="AW41" s="103">
        <f t="shared" si="18"/>
        <v>0</v>
      </c>
      <c r="AX41" s="103"/>
      <c r="AY41" s="104">
        <f t="shared" si="19"/>
        <v>0</v>
      </c>
      <c r="AZ41" s="104">
        <f t="shared" si="20"/>
        <v>0</v>
      </c>
      <c r="BA41" s="104">
        <f t="shared" si="21"/>
        <v>0</v>
      </c>
      <c r="BB41" s="104">
        <f t="shared" si="22"/>
        <v>0</v>
      </c>
      <c r="BC41" s="104">
        <f t="shared" si="23"/>
        <v>0</v>
      </c>
      <c r="BD41" s="104">
        <f t="shared" si="24"/>
        <v>0</v>
      </c>
      <c r="BE41" s="104">
        <f t="shared" si="25"/>
        <v>0</v>
      </c>
      <c r="BF41" s="104">
        <f t="shared" si="26"/>
        <v>0</v>
      </c>
      <c r="BG41" s="104">
        <f t="shared" si="27"/>
        <v>0</v>
      </c>
      <c r="BH41" s="104">
        <f t="shared" si="28"/>
        <v>0</v>
      </c>
      <c r="BI41" s="104">
        <f t="shared" si="29"/>
        <v>0</v>
      </c>
      <c r="BJ41" s="104">
        <f t="shared" si="30"/>
        <v>0</v>
      </c>
      <c r="BL41" s="104">
        <f t="shared" si="31"/>
        <v>0</v>
      </c>
      <c r="BM41" s="104">
        <f t="shared" si="32"/>
        <v>0</v>
      </c>
      <c r="BN41" s="104">
        <f t="shared" si="33"/>
        <v>0</v>
      </c>
    </row>
    <row r="42" spans="1:66" s="19" customFormat="1" ht="15" customHeight="1" x14ac:dyDescent="0.3">
      <c r="A42" s="105">
        <v>31</v>
      </c>
      <c r="B42" s="108"/>
      <c r="C42" s="85"/>
      <c r="D42" s="106"/>
      <c r="E42" s="107"/>
      <c r="F42" s="113"/>
      <c r="G42" s="114"/>
      <c r="H42" s="107"/>
      <c r="I42" s="107"/>
      <c r="J42" s="107"/>
      <c r="K42" s="107"/>
      <c r="M42" s="13"/>
      <c r="N42" s="13"/>
      <c r="O42" s="13"/>
      <c r="P42" s="13"/>
      <c r="Q42" s="13"/>
      <c r="R42" s="13"/>
      <c r="S42" s="13"/>
      <c r="T42" s="13"/>
      <c r="U42" s="13"/>
      <c r="V42" s="13"/>
      <c r="W42" s="13"/>
      <c r="X42" s="13"/>
      <c r="AE42" s="103">
        <f t="shared" si="15"/>
        <v>0</v>
      </c>
      <c r="AF42" s="103">
        <f t="shared" si="2"/>
        <v>0</v>
      </c>
      <c r="AG42" s="103">
        <f t="shared" si="3"/>
        <v>0</v>
      </c>
      <c r="AH42" s="103">
        <f t="shared" si="4"/>
        <v>0</v>
      </c>
      <c r="AI42" s="103">
        <f t="shared" si="5"/>
        <v>0</v>
      </c>
      <c r="AJ42" s="103">
        <f t="shared" si="6"/>
        <v>0</v>
      </c>
      <c r="AK42" s="103">
        <f t="shared" si="7"/>
        <v>0</v>
      </c>
      <c r="AL42" s="103">
        <f t="shared" si="8"/>
        <v>0</v>
      </c>
      <c r="AM42" s="103">
        <f t="shared" si="9"/>
        <v>0</v>
      </c>
      <c r="AN42" s="103">
        <f t="shared" si="10"/>
        <v>0</v>
      </c>
      <c r="AO42" s="103">
        <f t="shared" si="11"/>
        <v>0</v>
      </c>
      <c r="AP42" s="103">
        <f t="shared" si="12"/>
        <v>0</v>
      </c>
      <c r="AQ42" s="103">
        <f t="shared" si="13"/>
        <v>0</v>
      </c>
      <c r="AR42" s="103">
        <f t="shared" si="14"/>
        <v>0</v>
      </c>
      <c r="AS42" s="103"/>
      <c r="AT42" s="103">
        <f t="shared" si="16"/>
        <v>0</v>
      </c>
      <c r="AU42" s="103">
        <f t="shared" si="34"/>
        <v>0</v>
      </c>
      <c r="AV42" s="103">
        <f t="shared" si="17"/>
        <v>0</v>
      </c>
      <c r="AW42" s="103">
        <f t="shared" si="18"/>
        <v>0</v>
      </c>
      <c r="AX42" s="103"/>
      <c r="AY42" s="104">
        <f t="shared" si="19"/>
        <v>0</v>
      </c>
      <c r="AZ42" s="104">
        <f t="shared" si="20"/>
        <v>0</v>
      </c>
      <c r="BA42" s="104">
        <f t="shared" si="21"/>
        <v>0</v>
      </c>
      <c r="BB42" s="104">
        <f t="shared" si="22"/>
        <v>0</v>
      </c>
      <c r="BC42" s="104">
        <f t="shared" si="23"/>
        <v>0</v>
      </c>
      <c r="BD42" s="104">
        <f t="shared" si="24"/>
        <v>0</v>
      </c>
      <c r="BE42" s="104">
        <f t="shared" si="25"/>
        <v>0</v>
      </c>
      <c r="BF42" s="104">
        <f t="shared" si="26"/>
        <v>0</v>
      </c>
      <c r="BG42" s="104">
        <f t="shared" si="27"/>
        <v>0</v>
      </c>
      <c r="BH42" s="104">
        <f t="shared" si="28"/>
        <v>0</v>
      </c>
      <c r="BI42" s="104">
        <f t="shared" si="29"/>
        <v>0</v>
      </c>
      <c r="BJ42" s="104">
        <f t="shared" si="30"/>
        <v>0</v>
      </c>
      <c r="BL42" s="104">
        <f t="shared" si="31"/>
        <v>0</v>
      </c>
      <c r="BM42" s="104">
        <f t="shared" si="32"/>
        <v>0</v>
      </c>
      <c r="BN42" s="104">
        <f t="shared" si="33"/>
        <v>0</v>
      </c>
    </row>
    <row r="43" spans="1:66" s="19" customFormat="1" ht="15" customHeight="1" x14ac:dyDescent="0.3">
      <c r="A43" s="105">
        <v>32</v>
      </c>
      <c r="B43" s="108"/>
      <c r="C43" s="85"/>
      <c r="D43" s="106"/>
      <c r="E43" s="107"/>
      <c r="F43" s="113"/>
      <c r="G43" s="114"/>
      <c r="H43" s="107"/>
      <c r="I43" s="107"/>
      <c r="J43" s="107"/>
      <c r="K43" s="107"/>
      <c r="L43" s="13"/>
      <c r="M43" s="13"/>
      <c r="N43" s="13"/>
      <c r="O43" s="13"/>
      <c r="P43" s="13"/>
      <c r="Q43" s="13"/>
      <c r="R43" s="13"/>
      <c r="S43" s="13"/>
      <c r="T43" s="13"/>
      <c r="U43" s="13"/>
      <c r="V43" s="13"/>
      <c r="W43" s="13"/>
      <c r="X43" s="13"/>
      <c r="AE43" s="103">
        <f t="shared" si="15"/>
        <v>0</v>
      </c>
      <c r="AF43" s="103">
        <f t="shared" si="2"/>
        <v>0</v>
      </c>
      <c r="AG43" s="103">
        <f t="shared" si="3"/>
        <v>0</v>
      </c>
      <c r="AH43" s="103">
        <f t="shared" si="4"/>
        <v>0</v>
      </c>
      <c r="AI43" s="103">
        <f t="shared" si="5"/>
        <v>0</v>
      </c>
      <c r="AJ43" s="103">
        <f t="shared" si="6"/>
        <v>0</v>
      </c>
      <c r="AK43" s="103">
        <f t="shared" si="7"/>
        <v>0</v>
      </c>
      <c r="AL43" s="103">
        <f t="shared" si="8"/>
        <v>0</v>
      </c>
      <c r="AM43" s="103">
        <f t="shared" si="9"/>
        <v>0</v>
      </c>
      <c r="AN43" s="103">
        <f t="shared" si="10"/>
        <v>0</v>
      </c>
      <c r="AO43" s="103">
        <f t="shared" si="11"/>
        <v>0</v>
      </c>
      <c r="AP43" s="103">
        <f t="shared" si="12"/>
        <v>0</v>
      </c>
      <c r="AQ43" s="103">
        <f t="shared" si="13"/>
        <v>0</v>
      </c>
      <c r="AR43" s="103">
        <f t="shared" si="14"/>
        <v>0</v>
      </c>
      <c r="AS43" s="103"/>
      <c r="AT43" s="103">
        <f t="shared" si="16"/>
        <v>0</v>
      </c>
      <c r="AU43" s="103">
        <f t="shared" si="34"/>
        <v>0</v>
      </c>
      <c r="AV43" s="103">
        <f t="shared" si="17"/>
        <v>0</v>
      </c>
      <c r="AW43" s="103">
        <f t="shared" si="18"/>
        <v>0</v>
      </c>
      <c r="AX43" s="103"/>
      <c r="AY43" s="104">
        <f t="shared" si="19"/>
        <v>0</v>
      </c>
      <c r="AZ43" s="104">
        <f t="shared" si="20"/>
        <v>0</v>
      </c>
      <c r="BA43" s="104">
        <f t="shared" si="21"/>
        <v>0</v>
      </c>
      <c r="BB43" s="104">
        <f t="shared" si="22"/>
        <v>0</v>
      </c>
      <c r="BC43" s="104">
        <f t="shared" si="23"/>
        <v>0</v>
      </c>
      <c r="BD43" s="104">
        <f t="shared" si="24"/>
        <v>0</v>
      </c>
      <c r="BE43" s="104">
        <f t="shared" si="25"/>
        <v>0</v>
      </c>
      <c r="BF43" s="104">
        <f t="shared" si="26"/>
        <v>0</v>
      </c>
      <c r="BG43" s="104">
        <f t="shared" si="27"/>
        <v>0</v>
      </c>
      <c r="BH43" s="104">
        <f t="shared" si="28"/>
        <v>0</v>
      </c>
      <c r="BI43" s="104">
        <f t="shared" si="29"/>
        <v>0</v>
      </c>
      <c r="BJ43" s="104">
        <f t="shared" si="30"/>
        <v>0</v>
      </c>
      <c r="BL43" s="104">
        <f t="shared" si="31"/>
        <v>0</v>
      </c>
      <c r="BM43" s="104">
        <f t="shared" si="32"/>
        <v>0</v>
      </c>
      <c r="BN43" s="104">
        <f t="shared" si="33"/>
        <v>0</v>
      </c>
    </row>
    <row r="44" spans="1:66" s="19" customFormat="1" ht="15" customHeight="1" x14ac:dyDescent="0.3">
      <c r="A44" s="105">
        <v>33</v>
      </c>
      <c r="B44" s="108"/>
      <c r="C44" s="85"/>
      <c r="D44" s="106"/>
      <c r="E44" s="107"/>
      <c r="F44" s="113"/>
      <c r="G44" s="114"/>
      <c r="H44" s="107"/>
      <c r="I44" s="107"/>
      <c r="J44" s="107"/>
      <c r="K44" s="107"/>
      <c r="L44" s="13"/>
      <c r="M44" s="13"/>
      <c r="N44" s="13"/>
      <c r="O44" s="13"/>
      <c r="P44" s="13"/>
      <c r="Q44" s="13"/>
      <c r="R44" s="13"/>
      <c r="S44" s="13"/>
      <c r="T44" s="13"/>
      <c r="U44" s="13"/>
      <c r="V44" s="13"/>
      <c r="W44" s="13"/>
      <c r="X44" s="13"/>
      <c r="AE44" s="103">
        <f t="shared" si="15"/>
        <v>0</v>
      </c>
      <c r="AF44" s="103">
        <f t="shared" si="2"/>
        <v>0</v>
      </c>
      <c r="AG44" s="103">
        <f t="shared" si="3"/>
        <v>0</v>
      </c>
      <c r="AH44" s="103">
        <f t="shared" si="4"/>
        <v>0</v>
      </c>
      <c r="AI44" s="103">
        <f t="shared" si="5"/>
        <v>0</v>
      </c>
      <c r="AJ44" s="103">
        <f t="shared" si="6"/>
        <v>0</v>
      </c>
      <c r="AK44" s="103">
        <f t="shared" si="7"/>
        <v>0</v>
      </c>
      <c r="AL44" s="103">
        <f t="shared" si="8"/>
        <v>0</v>
      </c>
      <c r="AM44" s="103">
        <f t="shared" si="9"/>
        <v>0</v>
      </c>
      <c r="AN44" s="103">
        <f t="shared" si="10"/>
        <v>0</v>
      </c>
      <c r="AO44" s="103">
        <f t="shared" si="11"/>
        <v>0</v>
      </c>
      <c r="AP44" s="103">
        <f t="shared" si="12"/>
        <v>0</v>
      </c>
      <c r="AQ44" s="103">
        <f t="shared" si="13"/>
        <v>0</v>
      </c>
      <c r="AR44" s="103">
        <f t="shared" si="14"/>
        <v>0</v>
      </c>
      <c r="AS44" s="103"/>
      <c r="AT44" s="103">
        <f t="shared" si="16"/>
        <v>0</v>
      </c>
      <c r="AU44" s="103">
        <f t="shared" si="34"/>
        <v>0</v>
      </c>
      <c r="AV44" s="103">
        <f t="shared" si="17"/>
        <v>0</v>
      </c>
      <c r="AW44" s="103">
        <f t="shared" si="18"/>
        <v>0</v>
      </c>
      <c r="AX44" s="103"/>
      <c r="AY44" s="104">
        <f t="shared" si="19"/>
        <v>0</v>
      </c>
      <c r="AZ44" s="104">
        <f t="shared" si="20"/>
        <v>0</v>
      </c>
      <c r="BA44" s="104">
        <f t="shared" si="21"/>
        <v>0</v>
      </c>
      <c r="BB44" s="104">
        <f t="shared" si="22"/>
        <v>0</v>
      </c>
      <c r="BC44" s="104">
        <f t="shared" si="23"/>
        <v>0</v>
      </c>
      <c r="BD44" s="104">
        <f t="shared" si="24"/>
        <v>0</v>
      </c>
      <c r="BE44" s="104">
        <f t="shared" si="25"/>
        <v>0</v>
      </c>
      <c r="BF44" s="104">
        <f t="shared" si="26"/>
        <v>0</v>
      </c>
      <c r="BG44" s="104">
        <f t="shared" si="27"/>
        <v>0</v>
      </c>
      <c r="BH44" s="104">
        <f t="shared" si="28"/>
        <v>0</v>
      </c>
      <c r="BI44" s="104">
        <f t="shared" si="29"/>
        <v>0</v>
      </c>
      <c r="BJ44" s="104">
        <f t="shared" si="30"/>
        <v>0</v>
      </c>
      <c r="BL44" s="104">
        <f t="shared" si="31"/>
        <v>0</v>
      </c>
      <c r="BM44" s="104">
        <f t="shared" si="32"/>
        <v>0</v>
      </c>
      <c r="BN44" s="104">
        <f t="shared" si="33"/>
        <v>0</v>
      </c>
    </row>
    <row r="45" spans="1:66" s="19" customFormat="1" ht="13.5" customHeight="1" x14ac:dyDescent="0.3">
      <c r="A45" s="105">
        <v>34</v>
      </c>
      <c r="B45" s="108"/>
      <c r="C45" s="85"/>
      <c r="D45" s="106"/>
      <c r="E45" s="107"/>
      <c r="F45" s="113"/>
      <c r="G45" s="114"/>
      <c r="H45" s="107"/>
      <c r="I45" s="107"/>
      <c r="J45" s="107"/>
      <c r="K45" s="107"/>
      <c r="L45" s="13"/>
      <c r="M45" s="13"/>
      <c r="N45" s="13"/>
      <c r="O45" s="13"/>
      <c r="P45" s="13"/>
      <c r="Q45" s="13"/>
      <c r="R45" s="13"/>
      <c r="S45" s="13"/>
      <c r="T45" s="13"/>
      <c r="U45" s="13"/>
      <c r="V45" s="13"/>
      <c r="W45" s="13"/>
      <c r="X45" s="13"/>
      <c r="AE45" s="103">
        <f t="shared" si="15"/>
        <v>0</v>
      </c>
      <c r="AF45" s="103">
        <f t="shared" si="2"/>
        <v>0</v>
      </c>
      <c r="AG45" s="103">
        <f t="shared" si="3"/>
        <v>0</v>
      </c>
      <c r="AH45" s="103">
        <f t="shared" si="4"/>
        <v>0</v>
      </c>
      <c r="AI45" s="103">
        <f t="shared" si="5"/>
        <v>0</v>
      </c>
      <c r="AJ45" s="103">
        <f t="shared" si="6"/>
        <v>0</v>
      </c>
      <c r="AK45" s="103">
        <f t="shared" si="7"/>
        <v>0</v>
      </c>
      <c r="AL45" s="103">
        <f t="shared" si="8"/>
        <v>0</v>
      </c>
      <c r="AM45" s="103">
        <f t="shared" si="9"/>
        <v>0</v>
      </c>
      <c r="AN45" s="103">
        <f t="shared" si="10"/>
        <v>0</v>
      </c>
      <c r="AO45" s="103">
        <f t="shared" si="11"/>
        <v>0</v>
      </c>
      <c r="AP45" s="103">
        <f t="shared" si="12"/>
        <v>0</v>
      </c>
      <c r="AQ45" s="103">
        <f t="shared" si="13"/>
        <v>0</v>
      </c>
      <c r="AR45" s="103">
        <f t="shared" si="14"/>
        <v>0</v>
      </c>
      <c r="AS45" s="103"/>
      <c r="AT45" s="103">
        <f t="shared" si="16"/>
        <v>0</v>
      </c>
      <c r="AU45" s="103">
        <f t="shared" si="34"/>
        <v>0</v>
      </c>
      <c r="AV45" s="103">
        <f t="shared" si="17"/>
        <v>0</v>
      </c>
      <c r="AW45" s="103">
        <f t="shared" si="18"/>
        <v>0</v>
      </c>
      <c r="AX45" s="103"/>
      <c r="AY45" s="104">
        <f t="shared" si="19"/>
        <v>0</v>
      </c>
      <c r="AZ45" s="104">
        <f t="shared" si="20"/>
        <v>0</v>
      </c>
      <c r="BA45" s="104">
        <f t="shared" si="21"/>
        <v>0</v>
      </c>
      <c r="BB45" s="104">
        <f t="shared" si="22"/>
        <v>0</v>
      </c>
      <c r="BC45" s="104">
        <f t="shared" si="23"/>
        <v>0</v>
      </c>
      <c r="BD45" s="104">
        <f t="shared" si="24"/>
        <v>0</v>
      </c>
      <c r="BE45" s="104">
        <f t="shared" si="25"/>
        <v>0</v>
      </c>
      <c r="BF45" s="104">
        <f t="shared" si="26"/>
        <v>0</v>
      </c>
      <c r="BG45" s="104">
        <f t="shared" si="27"/>
        <v>0</v>
      </c>
      <c r="BH45" s="104">
        <f t="shared" si="28"/>
        <v>0</v>
      </c>
      <c r="BI45" s="104">
        <f t="shared" si="29"/>
        <v>0</v>
      </c>
      <c r="BJ45" s="104">
        <f t="shared" si="30"/>
        <v>0</v>
      </c>
      <c r="BL45" s="104">
        <f t="shared" si="31"/>
        <v>0</v>
      </c>
      <c r="BM45" s="104">
        <f t="shared" si="32"/>
        <v>0</v>
      </c>
      <c r="BN45" s="104">
        <f t="shared" si="33"/>
        <v>0</v>
      </c>
    </row>
    <row r="46" spans="1:66" s="19" customFormat="1" ht="15" customHeight="1" x14ac:dyDescent="0.3">
      <c r="A46" s="105">
        <v>35</v>
      </c>
      <c r="B46" s="108"/>
      <c r="C46" s="85"/>
      <c r="D46" s="106"/>
      <c r="E46" s="107"/>
      <c r="F46" s="113"/>
      <c r="G46" s="114"/>
      <c r="H46" s="107"/>
      <c r="I46" s="107"/>
      <c r="J46" s="107"/>
      <c r="K46" s="107"/>
      <c r="L46" s="13"/>
      <c r="M46" s="13"/>
      <c r="N46" s="13"/>
      <c r="O46" s="13"/>
      <c r="P46" s="13"/>
      <c r="Q46" s="13"/>
      <c r="R46" s="13"/>
      <c r="S46" s="13"/>
      <c r="T46" s="13"/>
      <c r="U46" s="13"/>
      <c r="V46" s="13"/>
      <c r="W46" s="13"/>
      <c r="X46" s="13"/>
      <c r="AE46" s="103">
        <f t="shared" si="15"/>
        <v>0</v>
      </c>
      <c r="AF46" s="103">
        <f t="shared" si="2"/>
        <v>0</v>
      </c>
      <c r="AG46" s="103">
        <f t="shared" si="3"/>
        <v>0</v>
      </c>
      <c r="AH46" s="103">
        <f t="shared" si="4"/>
        <v>0</v>
      </c>
      <c r="AI46" s="103">
        <f t="shared" si="5"/>
        <v>0</v>
      </c>
      <c r="AJ46" s="103">
        <f t="shared" si="6"/>
        <v>0</v>
      </c>
      <c r="AK46" s="103">
        <f t="shared" si="7"/>
        <v>0</v>
      </c>
      <c r="AL46" s="103">
        <f t="shared" si="8"/>
        <v>0</v>
      </c>
      <c r="AM46" s="103">
        <f t="shared" si="9"/>
        <v>0</v>
      </c>
      <c r="AN46" s="103">
        <f t="shared" si="10"/>
        <v>0</v>
      </c>
      <c r="AO46" s="103">
        <f t="shared" si="11"/>
        <v>0</v>
      </c>
      <c r="AP46" s="103">
        <f t="shared" si="12"/>
        <v>0</v>
      </c>
      <c r="AQ46" s="103">
        <f t="shared" si="13"/>
        <v>0</v>
      </c>
      <c r="AR46" s="103">
        <f t="shared" si="14"/>
        <v>0</v>
      </c>
      <c r="AS46" s="103"/>
      <c r="AT46" s="103">
        <f t="shared" si="16"/>
        <v>0</v>
      </c>
      <c r="AU46" s="103">
        <f t="shared" si="34"/>
        <v>0</v>
      </c>
      <c r="AV46" s="103">
        <f t="shared" si="17"/>
        <v>0</v>
      </c>
      <c r="AW46" s="103">
        <f t="shared" si="18"/>
        <v>0</v>
      </c>
      <c r="AX46" s="103"/>
      <c r="AY46" s="104">
        <f t="shared" si="19"/>
        <v>0</v>
      </c>
      <c r="AZ46" s="104">
        <f t="shared" si="20"/>
        <v>0</v>
      </c>
      <c r="BA46" s="104">
        <f t="shared" si="21"/>
        <v>0</v>
      </c>
      <c r="BB46" s="104">
        <f t="shared" si="22"/>
        <v>0</v>
      </c>
      <c r="BC46" s="104">
        <f t="shared" si="23"/>
        <v>0</v>
      </c>
      <c r="BD46" s="104">
        <f t="shared" si="24"/>
        <v>0</v>
      </c>
      <c r="BE46" s="104">
        <f t="shared" si="25"/>
        <v>0</v>
      </c>
      <c r="BF46" s="104">
        <f t="shared" si="26"/>
        <v>0</v>
      </c>
      <c r="BG46" s="104">
        <f t="shared" si="27"/>
        <v>0</v>
      </c>
      <c r="BH46" s="104">
        <f t="shared" si="28"/>
        <v>0</v>
      </c>
      <c r="BI46" s="104">
        <f t="shared" si="29"/>
        <v>0</v>
      </c>
      <c r="BJ46" s="104">
        <f t="shared" si="30"/>
        <v>0</v>
      </c>
      <c r="BL46" s="104">
        <f t="shared" si="31"/>
        <v>0</v>
      </c>
      <c r="BM46" s="104">
        <f t="shared" si="32"/>
        <v>0</v>
      </c>
      <c r="BN46" s="104">
        <f t="shared" si="33"/>
        <v>0</v>
      </c>
    </row>
    <row r="47" spans="1:66" s="19" customFormat="1" ht="15" customHeight="1" x14ac:dyDescent="0.3">
      <c r="A47" s="105">
        <v>36</v>
      </c>
      <c r="B47" s="108"/>
      <c r="C47" s="85"/>
      <c r="D47" s="106"/>
      <c r="E47" s="107"/>
      <c r="F47" s="113"/>
      <c r="G47" s="114"/>
      <c r="H47" s="107"/>
      <c r="I47" s="107"/>
      <c r="J47" s="107"/>
      <c r="K47" s="107"/>
      <c r="L47" s="13"/>
      <c r="M47" s="13"/>
      <c r="N47" s="13"/>
      <c r="O47" s="13"/>
      <c r="P47" s="13"/>
      <c r="Q47" s="13"/>
      <c r="R47" s="13"/>
      <c r="S47" s="13"/>
      <c r="T47" s="13"/>
      <c r="U47" s="13"/>
      <c r="V47" s="13"/>
      <c r="W47" s="13"/>
      <c r="X47" s="13"/>
      <c r="AE47" s="103">
        <f t="shared" si="15"/>
        <v>0</v>
      </c>
      <c r="AF47" s="103">
        <f t="shared" si="2"/>
        <v>0</v>
      </c>
      <c r="AG47" s="103">
        <f t="shared" si="3"/>
        <v>0</v>
      </c>
      <c r="AH47" s="103">
        <f t="shared" si="4"/>
        <v>0</v>
      </c>
      <c r="AI47" s="103">
        <f t="shared" si="5"/>
        <v>0</v>
      </c>
      <c r="AJ47" s="103">
        <f t="shared" si="6"/>
        <v>0</v>
      </c>
      <c r="AK47" s="103">
        <f t="shared" si="7"/>
        <v>0</v>
      </c>
      <c r="AL47" s="103">
        <f t="shared" si="8"/>
        <v>0</v>
      </c>
      <c r="AM47" s="103">
        <f t="shared" si="9"/>
        <v>0</v>
      </c>
      <c r="AN47" s="103">
        <f t="shared" si="10"/>
        <v>0</v>
      </c>
      <c r="AO47" s="103">
        <f t="shared" si="11"/>
        <v>0</v>
      </c>
      <c r="AP47" s="103">
        <f t="shared" si="12"/>
        <v>0</v>
      </c>
      <c r="AQ47" s="103">
        <f t="shared" si="13"/>
        <v>0</v>
      </c>
      <c r="AR47" s="103">
        <f t="shared" si="14"/>
        <v>0</v>
      </c>
      <c r="AS47" s="103"/>
      <c r="AT47" s="103">
        <f t="shared" si="16"/>
        <v>0</v>
      </c>
      <c r="AU47" s="103">
        <f t="shared" si="34"/>
        <v>0</v>
      </c>
      <c r="AV47" s="103">
        <f t="shared" si="17"/>
        <v>0</v>
      </c>
      <c r="AW47" s="103">
        <f t="shared" si="18"/>
        <v>0</v>
      </c>
      <c r="AX47" s="103"/>
      <c r="AY47" s="104">
        <f t="shared" si="19"/>
        <v>0</v>
      </c>
      <c r="AZ47" s="104">
        <f t="shared" si="20"/>
        <v>0</v>
      </c>
      <c r="BA47" s="104">
        <f t="shared" si="21"/>
        <v>0</v>
      </c>
      <c r="BB47" s="104">
        <f t="shared" si="22"/>
        <v>0</v>
      </c>
      <c r="BC47" s="104">
        <f t="shared" si="23"/>
        <v>0</v>
      </c>
      <c r="BD47" s="104">
        <f t="shared" si="24"/>
        <v>0</v>
      </c>
      <c r="BE47" s="104">
        <f t="shared" si="25"/>
        <v>0</v>
      </c>
      <c r="BF47" s="104">
        <f t="shared" si="26"/>
        <v>0</v>
      </c>
      <c r="BG47" s="104">
        <f t="shared" si="27"/>
        <v>0</v>
      </c>
      <c r="BH47" s="104">
        <f t="shared" si="28"/>
        <v>0</v>
      </c>
      <c r="BI47" s="104">
        <f t="shared" si="29"/>
        <v>0</v>
      </c>
      <c r="BJ47" s="104">
        <f t="shared" si="30"/>
        <v>0</v>
      </c>
      <c r="BL47" s="104">
        <f t="shared" si="31"/>
        <v>0</v>
      </c>
      <c r="BM47" s="104">
        <f t="shared" si="32"/>
        <v>0</v>
      </c>
      <c r="BN47" s="104">
        <f t="shared" si="33"/>
        <v>0</v>
      </c>
    </row>
    <row r="48" spans="1:66" s="19" customFormat="1" ht="15" customHeight="1" x14ac:dyDescent="0.3">
      <c r="A48" s="105">
        <v>37</v>
      </c>
      <c r="B48" s="108"/>
      <c r="C48" s="85"/>
      <c r="D48" s="106"/>
      <c r="E48" s="107"/>
      <c r="F48" s="113"/>
      <c r="G48" s="114"/>
      <c r="H48" s="107"/>
      <c r="I48" s="107"/>
      <c r="J48" s="107"/>
      <c r="K48" s="107"/>
      <c r="L48" s="13"/>
      <c r="M48" s="13"/>
      <c r="N48" s="13"/>
      <c r="O48" s="13"/>
      <c r="P48" s="13"/>
      <c r="Q48" s="13"/>
      <c r="R48" s="13"/>
      <c r="S48" s="13"/>
      <c r="T48" s="13"/>
      <c r="U48" s="13"/>
      <c r="V48" s="13"/>
      <c r="W48" s="13"/>
      <c r="X48" s="13"/>
      <c r="AE48" s="103">
        <f t="shared" si="15"/>
        <v>0</v>
      </c>
      <c r="AF48" s="103">
        <f t="shared" si="2"/>
        <v>0</v>
      </c>
      <c r="AG48" s="103">
        <f t="shared" si="3"/>
        <v>0</v>
      </c>
      <c r="AH48" s="103">
        <f t="shared" si="4"/>
        <v>0</v>
      </c>
      <c r="AI48" s="103">
        <f t="shared" si="5"/>
        <v>0</v>
      </c>
      <c r="AJ48" s="103">
        <f t="shared" si="6"/>
        <v>0</v>
      </c>
      <c r="AK48" s="103">
        <f t="shared" si="7"/>
        <v>0</v>
      </c>
      <c r="AL48" s="103">
        <f t="shared" si="8"/>
        <v>0</v>
      </c>
      <c r="AM48" s="103">
        <f t="shared" si="9"/>
        <v>0</v>
      </c>
      <c r="AN48" s="103">
        <f t="shared" si="10"/>
        <v>0</v>
      </c>
      <c r="AO48" s="103">
        <f t="shared" si="11"/>
        <v>0</v>
      </c>
      <c r="AP48" s="103">
        <f t="shared" si="12"/>
        <v>0</v>
      </c>
      <c r="AQ48" s="103">
        <f t="shared" si="13"/>
        <v>0</v>
      </c>
      <c r="AR48" s="103">
        <f t="shared" si="14"/>
        <v>0</v>
      </c>
      <c r="AS48" s="103"/>
      <c r="AT48" s="103">
        <f t="shared" si="16"/>
        <v>0</v>
      </c>
      <c r="AU48" s="103">
        <f t="shared" si="34"/>
        <v>0</v>
      </c>
      <c r="AV48" s="103">
        <f t="shared" si="17"/>
        <v>0</v>
      </c>
      <c r="AW48" s="103">
        <f t="shared" si="18"/>
        <v>0</v>
      </c>
      <c r="AX48" s="103"/>
      <c r="AY48" s="104">
        <f t="shared" si="19"/>
        <v>0</v>
      </c>
      <c r="AZ48" s="104">
        <f t="shared" si="20"/>
        <v>0</v>
      </c>
      <c r="BA48" s="104">
        <f t="shared" si="21"/>
        <v>0</v>
      </c>
      <c r="BB48" s="104">
        <f t="shared" si="22"/>
        <v>0</v>
      </c>
      <c r="BC48" s="104">
        <f t="shared" si="23"/>
        <v>0</v>
      </c>
      <c r="BD48" s="104">
        <f t="shared" si="24"/>
        <v>0</v>
      </c>
      <c r="BE48" s="104">
        <f t="shared" si="25"/>
        <v>0</v>
      </c>
      <c r="BF48" s="104">
        <f t="shared" si="26"/>
        <v>0</v>
      </c>
      <c r="BG48" s="104">
        <f t="shared" si="27"/>
        <v>0</v>
      </c>
      <c r="BH48" s="104">
        <f t="shared" si="28"/>
        <v>0</v>
      </c>
      <c r="BI48" s="104">
        <f t="shared" si="29"/>
        <v>0</v>
      </c>
      <c r="BJ48" s="104">
        <f t="shared" si="30"/>
        <v>0</v>
      </c>
      <c r="BL48" s="104">
        <f t="shared" si="31"/>
        <v>0</v>
      </c>
      <c r="BM48" s="104">
        <f t="shared" si="32"/>
        <v>0</v>
      </c>
      <c r="BN48" s="104">
        <f t="shared" si="33"/>
        <v>0</v>
      </c>
    </row>
    <row r="49" spans="1:66" s="19" customFormat="1" ht="15" customHeight="1" x14ac:dyDescent="0.3">
      <c r="A49" s="105">
        <v>38</v>
      </c>
      <c r="B49" s="108"/>
      <c r="C49" s="85"/>
      <c r="D49" s="106"/>
      <c r="E49" s="107"/>
      <c r="F49" s="113"/>
      <c r="G49" s="114"/>
      <c r="H49" s="107"/>
      <c r="I49" s="107"/>
      <c r="J49" s="107"/>
      <c r="K49" s="107"/>
      <c r="L49" s="13"/>
      <c r="M49" s="13"/>
      <c r="N49" s="13"/>
      <c r="O49" s="13"/>
      <c r="P49" s="13"/>
      <c r="Q49" s="13"/>
      <c r="R49" s="13"/>
      <c r="S49" s="13"/>
      <c r="T49" s="13"/>
      <c r="U49" s="13"/>
      <c r="V49" s="13"/>
      <c r="W49" s="13"/>
      <c r="X49" s="13"/>
      <c r="AE49" s="103">
        <f t="shared" si="15"/>
        <v>0</v>
      </c>
      <c r="AF49" s="103">
        <f t="shared" si="2"/>
        <v>0</v>
      </c>
      <c r="AG49" s="103">
        <f t="shared" si="3"/>
        <v>0</v>
      </c>
      <c r="AH49" s="103">
        <f t="shared" si="4"/>
        <v>0</v>
      </c>
      <c r="AI49" s="103">
        <f t="shared" si="5"/>
        <v>0</v>
      </c>
      <c r="AJ49" s="103">
        <f t="shared" si="6"/>
        <v>0</v>
      </c>
      <c r="AK49" s="103">
        <f t="shared" si="7"/>
        <v>0</v>
      </c>
      <c r="AL49" s="103">
        <f t="shared" si="8"/>
        <v>0</v>
      </c>
      <c r="AM49" s="103">
        <f t="shared" si="9"/>
        <v>0</v>
      </c>
      <c r="AN49" s="103">
        <f t="shared" si="10"/>
        <v>0</v>
      </c>
      <c r="AO49" s="103">
        <f t="shared" si="11"/>
        <v>0</v>
      </c>
      <c r="AP49" s="103">
        <f t="shared" si="12"/>
        <v>0</v>
      </c>
      <c r="AQ49" s="103">
        <f t="shared" si="13"/>
        <v>0</v>
      </c>
      <c r="AR49" s="103">
        <f t="shared" si="14"/>
        <v>0</v>
      </c>
      <c r="AS49" s="103"/>
      <c r="AT49" s="103">
        <f t="shared" si="16"/>
        <v>0</v>
      </c>
      <c r="AU49" s="103">
        <f t="shared" si="34"/>
        <v>0</v>
      </c>
      <c r="AV49" s="103">
        <f t="shared" si="17"/>
        <v>0</v>
      </c>
      <c r="AW49" s="103">
        <f t="shared" si="18"/>
        <v>0</v>
      </c>
      <c r="AX49" s="103"/>
      <c r="AY49" s="104">
        <f t="shared" si="19"/>
        <v>0</v>
      </c>
      <c r="AZ49" s="104">
        <f t="shared" si="20"/>
        <v>0</v>
      </c>
      <c r="BA49" s="104">
        <f t="shared" si="21"/>
        <v>0</v>
      </c>
      <c r="BB49" s="104">
        <f t="shared" si="22"/>
        <v>0</v>
      </c>
      <c r="BC49" s="104">
        <f t="shared" si="23"/>
        <v>0</v>
      </c>
      <c r="BD49" s="104">
        <f t="shared" si="24"/>
        <v>0</v>
      </c>
      <c r="BE49" s="104">
        <f t="shared" si="25"/>
        <v>0</v>
      </c>
      <c r="BF49" s="104">
        <f t="shared" si="26"/>
        <v>0</v>
      </c>
      <c r="BG49" s="104">
        <f t="shared" si="27"/>
        <v>0</v>
      </c>
      <c r="BH49" s="104">
        <f t="shared" si="28"/>
        <v>0</v>
      </c>
      <c r="BI49" s="104">
        <f t="shared" si="29"/>
        <v>0</v>
      </c>
      <c r="BJ49" s="104">
        <f t="shared" si="30"/>
        <v>0</v>
      </c>
      <c r="BL49" s="104">
        <f t="shared" si="31"/>
        <v>0</v>
      </c>
      <c r="BM49" s="104">
        <f t="shared" si="32"/>
        <v>0</v>
      </c>
      <c r="BN49" s="104">
        <f t="shared" si="33"/>
        <v>0</v>
      </c>
    </row>
    <row r="50" spans="1:66" s="19" customFormat="1" ht="15" customHeight="1" x14ac:dyDescent="0.3">
      <c r="A50" s="105">
        <v>39</v>
      </c>
      <c r="B50" s="108"/>
      <c r="C50" s="85"/>
      <c r="D50" s="106"/>
      <c r="E50" s="107"/>
      <c r="F50" s="113"/>
      <c r="G50" s="114"/>
      <c r="H50" s="107"/>
      <c r="I50" s="107"/>
      <c r="J50" s="107"/>
      <c r="K50" s="107"/>
      <c r="L50" s="13"/>
      <c r="M50" s="13"/>
      <c r="N50" s="13"/>
      <c r="O50" s="13"/>
      <c r="P50" s="13"/>
      <c r="Q50" s="13"/>
      <c r="R50" s="13"/>
      <c r="S50" s="13"/>
      <c r="T50" s="13"/>
      <c r="U50" s="13"/>
      <c r="V50" s="13"/>
      <c r="W50" s="13"/>
      <c r="X50" s="13"/>
      <c r="AE50" s="103">
        <f t="shared" si="15"/>
        <v>0</v>
      </c>
      <c r="AF50" s="103">
        <f t="shared" si="2"/>
        <v>0</v>
      </c>
      <c r="AG50" s="103">
        <f t="shared" si="3"/>
        <v>0</v>
      </c>
      <c r="AH50" s="103">
        <f t="shared" si="4"/>
        <v>0</v>
      </c>
      <c r="AI50" s="103">
        <f t="shared" si="5"/>
        <v>0</v>
      </c>
      <c r="AJ50" s="103">
        <f t="shared" si="6"/>
        <v>0</v>
      </c>
      <c r="AK50" s="103">
        <f t="shared" si="7"/>
        <v>0</v>
      </c>
      <c r="AL50" s="103">
        <f t="shared" si="8"/>
        <v>0</v>
      </c>
      <c r="AM50" s="103">
        <f t="shared" si="9"/>
        <v>0</v>
      </c>
      <c r="AN50" s="103">
        <f t="shared" si="10"/>
        <v>0</v>
      </c>
      <c r="AO50" s="103">
        <f t="shared" si="11"/>
        <v>0</v>
      </c>
      <c r="AP50" s="103">
        <f t="shared" si="12"/>
        <v>0</v>
      </c>
      <c r="AQ50" s="103">
        <f t="shared" si="13"/>
        <v>0</v>
      </c>
      <c r="AR50" s="103">
        <f t="shared" si="14"/>
        <v>0</v>
      </c>
      <c r="AS50" s="103"/>
      <c r="AT50" s="103">
        <f t="shared" si="16"/>
        <v>0</v>
      </c>
      <c r="AU50" s="103">
        <f t="shared" si="34"/>
        <v>0</v>
      </c>
      <c r="AV50" s="103">
        <f t="shared" si="17"/>
        <v>0</v>
      </c>
      <c r="AW50" s="103">
        <f t="shared" si="18"/>
        <v>0</v>
      </c>
      <c r="AX50" s="103"/>
      <c r="AY50" s="104">
        <f t="shared" si="19"/>
        <v>0</v>
      </c>
      <c r="AZ50" s="104">
        <f t="shared" si="20"/>
        <v>0</v>
      </c>
      <c r="BA50" s="104">
        <f t="shared" si="21"/>
        <v>0</v>
      </c>
      <c r="BB50" s="104">
        <f t="shared" si="22"/>
        <v>0</v>
      </c>
      <c r="BC50" s="104">
        <f t="shared" si="23"/>
        <v>0</v>
      </c>
      <c r="BD50" s="104">
        <f t="shared" si="24"/>
        <v>0</v>
      </c>
      <c r="BE50" s="104">
        <f t="shared" si="25"/>
        <v>0</v>
      </c>
      <c r="BF50" s="104">
        <f t="shared" si="26"/>
        <v>0</v>
      </c>
      <c r="BG50" s="104">
        <f t="shared" si="27"/>
        <v>0</v>
      </c>
      <c r="BH50" s="104">
        <f t="shared" si="28"/>
        <v>0</v>
      </c>
      <c r="BI50" s="104">
        <f t="shared" si="29"/>
        <v>0</v>
      </c>
      <c r="BJ50" s="104">
        <f t="shared" si="30"/>
        <v>0</v>
      </c>
      <c r="BL50" s="104">
        <f t="shared" si="31"/>
        <v>0</v>
      </c>
      <c r="BM50" s="104">
        <f t="shared" si="32"/>
        <v>0</v>
      </c>
      <c r="BN50" s="104">
        <f t="shared" si="33"/>
        <v>0</v>
      </c>
    </row>
    <row r="51" spans="1:66" s="19" customFormat="1" ht="15" customHeight="1" x14ac:dyDescent="0.3">
      <c r="A51" s="105">
        <v>40</v>
      </c>
      <c r="B51" s="108"/>
      <c r="C51" s="85"/>
      <c r="D51" s="106"/>
      <c r="E51" s="107"/>
      <c r="F51" s="113"/>
      <c r="G51" s="114"/>
      <c r="H51" s="107"/>
      <c r="I51" s="107"/>
      <c r="J51" s="107"/>
      <c r="K51" s="107"/>
      <c r="L51" s="13"/>
      <c r="M51" s="13"/>
      <c r="N51" s="13"/>
      <c r="O51" s="13"/>
      <c r="P51" s="13"/>
      <c r="Q51" s="13"/>
      <c r="R51" s="13"/>
      <c r="S51" s="13"/>
      <c r="T51" s="13"/>
      <c r="U51" s="13"/>
      <c r="V51" s="13"/>
      <c r="W51" s="13"/>
      <c r="X51" s="13"/>
      <c r="AE51" s="103">
        <f t="shared" si="15"/>
        <v>0</v>
      </c>
      <c r="AF51" s="103">
        <f t="shared" si="2"/>
        <v>0</v>
      </c>
      <c r="AG51" s="103">
        <f t="shared" si="3"/>
        <v>0</v>
      </c>
      <c r="AH51" s="103">
        <f t="shared" si="4"/>
        <v>0</v>
      </c>
      <c r="AI51" s="103">
        <f t="shared" si="5"/>
        <v>0</v>
      </c>
      <c r="AJ51" s="103">
        <f t="shared" si="6"/>
        <v>0</v>
      </c>
      <c r="AK51" s="103">
        <f t="shared" si="7"/>
        <v>0</v>
      </c>
      <c r="AL51" s="103">
        <f t="shared" si="8"/>
        <v>0</v>
      </c>
      <c r="AM51" s="103">
        <f t="shared" si="9"/>
        <v>0</v>
      </c>
      <c r="AN51" s="103">
        <f t="shared" si="10"/>
        <v>0</v>
      </c>
      <c r="AO51" s="103">
        <f t="shared" si="11"/>
        <v>0</v>
      </c>
      <c r="AP51" s="103">
        <f t="shared" si="12"/>
        <v>0</v>
      </c>
      <c r="AQ51" s="103">
        <f t="shared" si="13"/>
        <v>0</v>
      </c>
      <c r="AR51" s="103">
        <f t="shared" si="14"/>
        <v>0</v>
      </c>
      <c r="AS51" s="103"/>
      <c r="AT51" s="103">
        <f t="shared" si="16"/>
        <v>0</v>
      </c>
      <c r="AU51" s="103">
        <f t="shared" si="34"/>
        <v>0</v>
      </c>
      <c r="AV51" s="103">
        <f t="shared" si="17"/>
        <v>0</v>
      </c>
      <c r="AW51" s="103">
        <f t="shared" si="18"/>
        <v>0</v>
      </c>
      <c r="AX51" s="103"/>
      <c r="AY51" s="104">
        <f t="shared" si="19"/>
        <v>0</v>
      </c>
      <c r="AZ51" s="104">
        <f t="shared" si="20"/>
        <v>0</v>
      </c>
      <c r="BA51" s="104">
        <f t="shared" si="21"/>
        <v>0</v>
      </c>
      <c r="BB51" s="104">
        <f t="shared" si="22"/>
        <v>0</v>
      </c>
      <c r="BC51" s="104">
        <f t="shared" si="23"/>
        <v>0</v>
      </c>
      <c r="BD51" s="104">
        <f t="shared" si="24"/>
        <v>0</v>
      </c>
      <c r="BE51" s="104">
        <f t="shared" si="25"/>
        <v>0</v>
      </c>
      <c r="BF51" s="104">
        <f t="shared" si="26"/>
        <v>0</v>
      </c>
      <c r="BG51" s="104">
        <f t="shared" si="27"/>
        <v>0</v>
      </c>
      <c r="BH51" s="104">
        <f t="shared" si="28"/>
        <v>0</v>
      </c>
      <c r="BI51" s="104">
        <f t="shared" si="29"/>
        <v>0</v>
      </c>
      <c r="BJ51" s="104">
        <f t="shared" si="30"/>
        <v>0</v>
      </c>
      <c r="BL51" s="104">
        <f t="shared" si="31"/>
        <v>0</v>
      </c>
      <c r="BM51" s="104">
        <f t="shared" si="32"/>
        <v>0</v>
      </c>
      <c r="BN51" s="104">
        <f t="shared" si="33"/>
        <v>0</v>
      </c>
    </row>
    <row r="52" spans="1:66" s="19" customFormat="1" ht="15" customHeight="1" x14ac:dyDescent="0.3">
      <c r="A52" s="105">
        <v>41</v>
      </c>
      <c r="B52" s="108"/>
      <c r="C52" s="85"/>
      <c r="D52" s="106"/>
      <c r="E52" s="107"/>
      <c r="F52" s="113"/>
      <c r="G52" s="114"/>
      <c r="H52" s="107"/>
      <c r="I52" s="107"/>
      <c r="J52" s="107"/>
      <c r="K52" s="107"/>
      <c r="L52" s="13"/>
      <c r="M52" s="13"/>
      <c r="N52" s="13"/>
      <c r="O52" s="13"/>
      <c r="P52" s="13"/>
      <c r="Q52" s="13"/>
      <c r="R52" s="13"/>
      <c r="S52" s="13"/>
      <c r="T52" s="13"/>
      <c r="U52" s="13"/>
      <c r="V52" s="13"/>
      <c r="W52" s="13"/>
      <c r="X52" s="13"/>
      <c r="AE52" s="103">
        <f t="shared" si="15"/>
        <v>0</v>
      </c>
      <c r="AF52" s="103">
        <f t="shared" si="2"/>
        <v>0</v>
      </c>
      <c r="AG52" s="103">
        <f t="shared" si="3"/>
        <v>0</v>
      </c>
      <c r="AH52" s="103">
        <f t="shared" si="4"/>
        <v>0</v>
      </c>
      <c r="AI52" s="103">
        <f t="shared" si="5"/>
        <v>0</v>
      </c>
      <c r="AJ52" s="103">
        <f t="shared" si="6"/>
        <v>0</v>
      </c>
      <c r="AK52" s="103">
        <f t="shared" si="7"/>
        <v>0</v>
      </c>
      <c r="AL52" s="103">
        <f t="shared" si="8"/>
        <v>0</v>
      </c>
      <c r="AM52" s="103">
        <f t="shared" si="9"/>
        <v>0</v>
      </c>
      <c r="AN52" s="103">
        <f t="shared" si="10"/>
        <v>0</v>
      </c>
      <c r="AO52" s="103">
        <f t="shared" si="11"/>
        <v>0</v>
      </c>
      <c r="AP52" s="103">
        <f t="shared" si="12"/>
        <v>0</v>
      </c>
      <c r="AQ52" s="103">
        <f t="shared" si="13"/>
        <v>0</v>
      </c>
      <c r="AR52" s="103">
        <f t="shared" si="14"/>
        <v>0</v>
      </c>
      <c r="AS52" s="103"/>
      <c r="AT52" s="103">
        <f t="shared" si="16"/>
        <v>0</v>
      </c>
      <c r="AU52" s="103">
        <f t="shared" si="34"/>
        <v>0</v>
      </c>
      <c r="AV52" s="103">
        <f t="shared" si="17"/>
        <v>0</v>
      </c>
      <c r="AW52" s="103">
        <f t="shared" si="18"/>
        <v>0</v>
      </c>
      <c r="AX52" s="103"/>
      <c r="AY52" s="104">
        <f t="shared" si="19"/>
        <v>0</v>
      </c>
      <c r="AZ52" s="104">
        <f t="shared" si="20"/>
        <v>0</v>
      </c>
      <c r="BA52" s="104">
        <f t="shared" si="21"/>
        <v>0</v>
      </c>
      <c r="BB52" s="104">
        <f t="shared" si="22"/>
        <v>0</v>
      </c>
      <c r="BC52" s="104">
        <f t="shared" si="23"/>
        <v>0</v>
      </c>
      <c r="BD52" s="104">
        <f t="shared" si="24"/>
        <v>0</v>
      </c>
      <c r="BE52" s="104">
        <f t="shared" si="25"/>
        <v>0</v>
      </c>
      <c r="BF52" s="104">
        <f t="shared" si="26"/>
        <v>0</v>
      </c>
      <c r="BG52" s="104">
        <f t="shared" si="27"/>
        <v>0</v>
      </c>
      <c r="BH52" s="104">
        <f t="shared" si="28"/>
        <v>0</v>
      </c>
      <c r="BI52" s="104">
        <f t="shared" si="29"/>
        <v>0</v>
      </c>
      <c r="BJ52" s="104">
        <f t="shared" si="30"/>
        <v>0</v>
      </c>
      <c r="BL52" s="104">
        <f t="shared" si="31"/>
        <v>0</v>
      </c>
      <c r="BM52" s="104">
        <f t="shared" si="32"/>
        <v>0</v>
      </c>
      <c r="BN52" s="104">
        <f t="shared" si="33"/>
        <v>0</v>
      </c>
    </row>
    <row r="53" spans="1:66" s="19" customFormat="1" ht="15" customHeight="1" x14ac:dyDescent="0.3">
      <c r="A53" s="105">
        <v>42</v>
      </c>
      <c r="B53" s="108"/>
      <c r="C53" s="85"/>
      <c r="D53" s="106"/>
      <c r="E53" s="107"/>
      <c r="F53" s="113"/>
      <c r="G53" s="114"/>
      <c r="H53" s="107"/>
      <c r="I53" s="107"/>
      <c r="J53" s="107"/>
      <c r="K53" s="107"/>
      <c r="L53" s="13"/>
      <c r="M53" s="13"/>
      <c r="N53" s="13"/>
      <c r="O53" s="13"/>
      <c r="P53" s="13"/>
      <c r="Q53" s="13"/>
      <c r="R53" s="13"/>
      <c r="S53" s="13"/>
      <c r="T53" s="13"/>
      <c r="U53" s="13"/>
      <c r="V53" s="13"/>
      <c r="W53" s="13"/>
      <c r="X53" s="13"/>
      <c r="AE53" s="103">
        <f t="shared" si="15"/>
        <v>0</v>
      </c>
      <c r="AF53" s="103">
        <f t="shared" si="2"/>
        <v>0</v>
      </c>
      <c r="AG53" s="103">
        <f t="shared" si="3"/>
        <v>0</v>
      </c>
      <c r="AH53" s="103">
        <f t="shared" si="4"/>
        <v>0</v>
      </c>
      <c r="AI53" s="103">
        <f t="shared" si="5"/>
        <v>0</v>
      </c>
      <c r="AJ53" s="103">
        <f t="shared" si="6"/>
        <v>0</v>
      </c>
      <c r="AK53" s="103">
        <f t="shared" si="7"/>
        <v>0</v>
      </c>
      <c r="AL53" s="103">
        <f t="shared" si="8"/>
        <v>0</v>
      </c>
      <c r="AM53" s="103">
        <f t="shared" si="9"/>
        <v>0</v>
      </c>
      <c r="AN53" s="103">
        <f t="shared" si="10"/>
        <v>0</v>
      </c>
      <c r="AO53" s="103">
        <f t="shared" si="11"/>
        <v>0</v>
      </c>
      <c r="AP53" s="103">
        <f t="shared" si="12"/>
        <v>0</v>
      </c>
      <c r="AQ53" s="103">
        <f t="shared" si="13"/>
        <v>0</v>
      </c>
      <c r="AR53" s="103">
        <f t="shared" si="14"/>
        <v>0</v>
      </c>
      <c r="AS53" s="103"/>
      <c r="AT53" s="103">
        <f t="shared" si="16"/>
        <v>0</v>
      </c>
      <c r="AU53" s="103">
        <f t="shared" si="34"/>
        <v>0</v>
      </c>
      <c r="AV53" s="103">
        <f t="shared" si="17"/>
        <v>0</v>
      </c>
      <c r="AW53" s="103">
        <f t="shared" si="18"/>
        <v>0</v>
      </c>
      <c r="AX53" s="103"/>
      <c r="AY53" s="104">
        <f t="shared" si="19"/>
        <v>0</v>
      </c>
      <c r="AZ53" s="104">
        <f t="shared" si="20"/>
        <v>0</v>
      </c>
      <c r="BA53" s="104">
        <f t="shared" si="21"/>
        <v>0</v>
      </c>
      <c r="BB53" s="104">
        <f t="shared" si="22"/>
        <v>0</v>
      </c>
      <c r="BC53" s="104">
        <f t="shared" si="23"/>
        <v>0</v>
      </c>
      <c r="BD53" s="104">
        <f t="shared" si="24"/>
        <v>0</v>
      </c>
      <c r="BE53" s="104">
        <f t="shared" si="25"/>
        <v>0</v>
      </c>
      <c r="BF53" s="104">
        <f t="shared" si="26"/>
        <v>0</v>
      </c>
      <c r="BG53" s="104">
        <f t="shared" si="27"/>
        <v>0</v>
      </c>
      <c r="BH53" s="104">
        <f t="shared" si="28"/>
        <v>0</v>
      </c>
      <c r="BI53" s="104">
        <f t="shared" si="29"/>
        <v>0</v>
      </c>
      <c r="BJ53" s="104">
        <f t="shared" si="30"/>
        <v>0</v>
      </c>
      <c r="BL53" s="104">
        <f t="shared" si="31"/>
        <v>0</v>
      </c>
      <c r="BM53" s="104">
        <f t="shared" si="32"/>
        <v>0</v>
      </c>
      <c r="BN53" s="104">
        <f t="shared" si="33"/>
        <v>0</v>
      </c>
    </row>
    <row r="54" spans="1:66" s="19" customFormat="1" ht="15" customHeight="1" x14ac:dyDescent="0.3">
      <c r="A54" s="105">
        <v>43</v>
      </c>
      <c r="B54" s="108"/>
      <c r="C54" s="85"/>
      <c r="D54" s="106"/>
      <c r="E54" s="107"/>
      <c r="F54" s="113"/>
      <c r="G54" s="114"/>
      <c r="H54" s="107"/>
      <c r="I54" s="107"/>
      <c r="J54" s="107"/>
      <c r="K54" s="107"/>
      <c r="L54" s="13"/>
      <c r="M54" s="13"/>
      <c r="N54" s="13"/>
      <c r="O54" s="13"/>
      <c r="P54" s="13"/>
      <c r="Q54" s="13"/>
      <c r="R54" s="13"/>
      <c r="S54" s="13"/>
      <c r="T54" s="13"/>
      <c r="U54" s="13"/>
      <c r="V54" s="13"/>
      <c r="W54" s="13"/>
      <c r="X54" s="13"/>
      <c r="AE54" s="103">
        <f t="shared" si="15"/>
        <v>0</v>
      </c>
      <c r="AF54" s="103">
        <f t="shared" si="2"/>
        <v>0</v>
      </c>
      <c r="AG54" s="103">
        <f t="shared" si="3"/>
        <v>0</v>
      </c>
      <c r="AH54" s="103">
        <f t="shared" si="4"/>
        <v>0</v>
      </c>
      <c r="AI54" s="103">
        <f t="shared" si="5"/>
        <v>0</v>
      </c>
      <c r="AJ54" s="103">
        <f t="shared" si="6"/>
        <v>0</v>
      </c>
      <c r="AK54" s="103">
        <f t="shared" si="7"/>
        <v>0</v>
      </c>
      <c r="AL54" s="103">
        <f t="shared" si="8"/>
        <v>0</v>
      </c>
      <c r="AM54" s="103">
        <f t="shared" si="9"/>
        <v>0</v>
      </c>
      <c r="AN54" s="103">
        <f t="shared" si="10"/>
        <v>0</v>
      </c>
      <c r="AO54" s="103">
        <f t="shared" si="11"/>
        <v>0</v>
      </c>
      <c r="AP54" s="103">
        <f t="shared" si="12"/>
        <v>0</v>
      </c>
      <c r="AQ54" s="103">
        <f t="shared" si="13"/>
        <v>0</v>
      </c>
      <c r="AR54" s="103">
        <f t="shared" si="14"/>
        <v>0</v>
      </c>
      <c r="AS54" s="103"/>
      <c r="AT54" s="103">
        <f t="shared" si="16"/>
        <v>0</v>
      </c>
      <c r="AU54" s="103">
        <f t="shared" si="34"/>
        <v>0</v>
      </c>
      <c r="AV54" s="103">
        <f t="shared" si="17"/>
        <v>0</v>
      </c>
      <c r="AW54" s="103">
        <f t="shared" si="18"/>
        <v>0</v>
      </c>
      <c r="AX54" s="103"/>
      <c r="AY54" s="104">
        <f t="shared" si="19"/>
        <v>0</v>
      </c>
      <c r="AZ54" s="104">
        <f t="shared" si="20"/>
        <v>0</v>
      </c>
      <c r="BA54" s="104">
        <f t="shared" si="21"/>
        <v>0</v>
      </c>
      <c r="BB54" s="104">
        <f t="shared" si="22"/>
        <v>0</v>
      </c>
      <c r="BC54" s="104">
        <f t="shared" si="23"/>
        <v>0</v>
      </c>
      <c r="BD54" s="104">
        <f t="shared" si="24"/>
        <v>0</v>
      </c>
      <c r="BE54" s="104">
        <f t="shared" si="25"/>
        <v>0</v>
      </c>
      <c r="BF54" s="104">
        <f t="shared" si="26"/>
        <v>0</v>
      </c>
      <c r="BG54" s="104">
        <f t="shared" si="27"/>
        <v>0</v>
      </c>
      <c r="BH54" s="104">
        <f t="shared" si="28"/>
        <v>0</v>
      </c>
      <c r="BI54" s="104">
        <f t="shared" si="29"/>
        <v>0</v>
      </c>
      <c r="BJ54" s="104">
        <f t="shared" si="30"/>
        <v>0</v>
      </c>
      <c r="BL54" s="104">
        <f t="shared" si="31"/>
        <v>0</v>
      </c>
      <c r="BM54" s="104">
        <f t="shared" si="32"/>
        <v>0</v>
      </c>
      <c r="BN54" s="104">
        <f t="shared" si="33"/>
        <v>0</v>
      </c>
    </row>
    <row r="55" spans="1:66" s="19" customFormat="1" ht="15" customHeight="1" x14ac:dyDescent="0.3">
      <c r="A55" s="105">
        <v>44</v>
      </c>
      <c r="B55" s="108"/>
      <c r="C55" s="85"/>
      <c r="D55" s="106"/>
      <c r="E55" s="107"/>
      <c r="F55" s="113"/>
      <c r="G55" s="114"/>
      <c r="H55" s="107"/>
      <c r="I55" s="107"/>
      <c r="J55" s="107"/>
      <c r="K55" s="107"/>
      <c r="L55" s="13"/>
      <c r="M55" s="13"/>
      <c r="N55" s="13"/>
      <c r="O55" s="13"/>
      <c r="P55" s="13"/>
      <c r="Q55" s="13"/>
      <c r="R55" s="13"/>
      <c r="S55" s="13"/>
      <c r="T55" s="13"/>
      <c r="U55" s="13"/>
      <c r="V55" s="13"/>
      <c r="W55" s="13"/>
      <c r="X55" s="13"/>
      <c r="AE55" s="103">
        <f t="shared" si="15"/>
        <v>0</v>
      </c>
      <c r="AF55" s="103">
        <f t="shared" si="2"/>
        <v>0</v>
      </c>
      <c r="AG55" s="103">
        <f t="shared" si="3"/>
        <v>0</v>
      </c>
      <c r="AH55" s="103">
        <f t="shared" si="4"/>
        <v>0</v>
      </c>
      <c r="AI55" s="103">
        <f t="shared" si="5"/>
        <v>0</v>
      </c>
      <c r="AJ55" s="103">
        <f t="shared" si="6"/>
        <v>0</v>
      </c>
      <c r="AK55" s="103">
        <f t="shared" si="7"/>
        <v>0</v>
      </c>
      <c r="AL55" s="103">
        <f t="shared" si="8"/>
        <v>0</v>
      </c>
      <c r="AM55" s="103">
        <f t="shared" si="9"/>
        <v>0</v>
      </c>
      <c r="AN55" s="103">
        <f t="shared" si="10"/>
        <v>0</v>
      </c>
      <c r="AO55" s="103">
        <f t="shared" si="11"/>
        <v>0</v>
      </c>
      <c r="AP55" s="103">
        <f t="shared" si="12"/>
        <v>0</v>
      </c>
      <c r="AQ55" s="103">
        <f t="shared" si="13"/>
        <v>0</v>
      </c>
      <c r="AR55" s="103">
        <f t="shared" si="14"/>
        <v>0</v>
      </c>
      <c r="AS55" s="103"/>
      <c r="AT55" s="103">
        <f t="shared" si="16"/>
        <v>0</v>
      </c>
      <c r="AU55" s="103">
        <f t="shared" si="34"/>
        <v>0</v>
      </c>
      <c r="AV55" s="103">
        <f t="shared" si="17"/>
        <v>0</v>
      </c>
      <c r="AW55" s="103">
        <f t="shared" si="18"/>
        <v>0</v>
      </c>
      <c r="AX55" s="103"/>
      <c r="AY55" s="104">
        <f t="shared" si="19"/>
        <v>0</v>
      </c>
      <c r="AZ55" s="104">
        <f t="shared" si="20"/>
        <v>0</v>
      </c>
      <c r="BA55" s="104">
        <f t="shared" si="21"/>
        <v>0</v>
      </c>
      <c r="BB55" s="104">
        <f t="shared" si="22"/>
        <v>0</v>
      </c>
      <c r="BC55" s="104">
        <f t="shared" si="23"/>
        <v>0</v>
      </c>
      <c r="BD55" s="104">
        <f t="shared" si="24"/>
        <v>0</v>
      </c>
      <c r="BE55" s="104">
        <f t="shared" si="25"/>
        <v>0</v>
      </c>
      <c r="BF55" s="104">
        <f t="shared" si="26"/>
        <v>0</v>
      </c>
      <c r="BG55" s="104">
        <f t="shared" si="27"/>
        <v>0</v>
      </c>
      <c r="BH55" s="104">
        <f t="shared" si="28"/>
        <v>0</v>
      </c>
      <c r="BI55" s="104">
        <f t="shared" si="29"/>
        <v>0</v>
      </c>
      <c r="BJ55" s="104">
        <f t="shared" si="30"/>
        <v>0</v>
      </c>
      <c r="BL55" s="104">
        <f t="shared" si="31"/>
        <v>0</v>
      </c>
      <c r="BM55" s="104">
        <f t="shared" si="32"/>
        <v>0</v>
      </c>
      <c r="BN55" s="104">
        <f t="shared" si="33"/>
        <v>0</v>
      </c>
    </row>
    <row r="56" spans="1:66" s="19" customFormat="1" ht="15" customHeight="1" x14ac:dyDescent="0.3">
      <c r="A56" s="105">
        <v>45</v>
      </c>
      <c r="B56" s="108"/>
      <c r="C56" s="85"/>
      <c r="D56" s="106"/>
      <c r="E56" s="107"/>
      <c r="F56" s="113"/>
      <c r="G56" s="114"/>
      <c r="H56" s="107"/>
      <c r="I56" s="107"/>
      <c r="J56" s="107"/>
      <c r="K56" s="107"/>
      <c r="L56" s="13"/>
      <c r="M56" s="13"/>
      <c r="N56" s="13"/>
      <c r="O56" s="13"/>
      <c r="P56" s="13"/>
      <c r="Q56" s="13"/>
      <c r="R56" s="13"/>
      <c r="S56" s="13"/>
      <c r="T56" s="13"/>
      <c r="U56" s="13"/>
      <c r="V56" s="13"/>
      <c r="W56" s="13"/>
      <c r="X56" s="13"/>
      <c r="AE56" s="103">
        <f t="shared" si="15"/>
        <v>0</v>
      </c>
      <c r="AF56" s="103">
        <f t="shared" si="2"/>
        <v>0</v>
      </c>
      <c r="AG56" s="103">
        <f t="shared" si="3"/>
        <v>0</v>
      </c>
      <c r="AH56" s="103">
        <f t="shared" si="4"/>
        <v>0</v>
      </c>
      <c r="AI56" s="103">
        <f t="shared" si="5"/>
        <v>0</v>
      </c>
      <c r="AJ56" s="103">
        <f t="shared" si="6"/>
        <v>0</v>
      </c>
      <c r="AK56" s="103">
        <f t="shared" si="7"/>
        <v>0</v>
      </c>
      <c r="AL56" s="103">
        <f t="shared" si="8"/>
        <v>0</v>
      </c>
      <c r="AM56" s="103">
        <f t="shared" si="9"/>
        <v>0</v>
      </c>
      <c r="AN56" s="103">
        <f t="shared" si="10"/>
        <v>0</v>
      </c>
      <c r="AO56" s="103">
        <f t="shared" si="11"/>
        <v>0</v>
      </c>
      <c r="AP56" s="103">
        <f t="shared" si="12"/>
        <v>0</v>
      </c>
      <c r="AQ56" s="103">
        <f t="shared" si="13"/>
        <v>0</v>
      </c>
      <c r="AR56" s="103">
        <f t="shared" si="14"/>
        <v>0</v>
      </c>
      <c r="AS56" s="103"/>
      <c r="AT56" s="103">
        <f t="shared" si="16"/>
        <v>0</v>
      </c>
      <c r="AU56" s="103">
        <f t="shared" si="34"/>
        <v>0</v>
      </c>
      <c r="AV56" s="103">
        <f t="shared" si="17"/>
        <v>0</v>
      </c>
      <c r="AW56" s="103">
        <f t="shared" si="18"/>
        <v>0</v>
      </c>
      <c r="AX56" s="103"/>
      <c r="AY56" s="104">
        <f t="shared" si="19"/>
        <v>0</v>
      </c>
      <c r="AZ56" s="104">
        <f t="shared" si="20"/>
        <v>0</v>
      </c>
      <c r="BA56" s="104">
        <f t="shared" si="21"/>
        <v>0</v>
      </c>
      <c r="BB56" s="104">
        <f t="shared" si="22"/>
        <v>0</v>
      </c>
      <c r="BC56" s="104">
        <f t="shared" si="23"/>
        <v>0</v>
      </c>
      <c r="BD56" s="104">
        <f t="shared" si="24"/>
        <v>0</v>
      </c>
      <c r="BE56" s="104">
        <f t="shared" si="25"/>
        <v>0</v>
      </c>
      <c r="BF56" s="104">
        <f t="shared" si="26"/>
        <v>0</v>
      </c>
      <c r="BG56" s="104">
        <f t="shared" si="27"/>
        <v>0</v>
      </c>
      <c r="BH56" s="104">
        <f t="shared" si="28"/>
        <v>0</v>
      </c>
      <c r="BI56" s="104">
        <f t="shared" si="29"/>
        <v>0</v>
      </c>
      <c r="BJ56" s="104">
        <f t="shared" si="30"/>
        <v>0</v>
      </c>
      <c r="BL56" s="104">
        <f t="shared" si="31"/>
        <v>0</v>
      </c>
      <c r="BM56" s="104">
        <f t="shared" si="32"/>
        <v>0</v>
      </c>
      <c r="BN56" s="104">
        <f t="shared" si="33"/>
        <v>0</v>
      </c>
    </row>
    <row r="57" spans="1:66" s="19" customFormat="1" ht="15" customHeight="1" x14ac:dyDescent="0.3">
      <c r="A57" s="105">
        <v>46</v>
      </c>
      <c r="B57" s="108"/>
      <c r="C57" s="85"/>
      <c r="D57" s="106"/>
      <c r="E57" s="107"/>
      <c r="F57" s="113"/>
      <c r="G57" s="114"/>
      <c r="H57" s="107"/>
      <c r="I57" s="107"/>
      <c r="J57" s="107"/>
      <c r="K57" s="107"/>
      <c r="L57" s="13"/>
      <c r="M57" s="13"/>
      <c r="N57" s="13"/>
      <c r="O57" s="13"/>
      <c r="P57" s="13"/>
      <c r="Q57" s="13"/>
      <c r="R57" s="13"/>
      <c r="S57" s="13"/>
      <c r="T57" s="13"/>
      <c r="U57" s="13"/>
      <c r="V57" s="13"/>
      <c r="W57" s="13"/>
      <c r="X57" s="13"/>
      <c r="AE57" s="103">
        <f t="shared" si="15"/>
        <v>0</v>
      </c>
      <c r="AF57" s="103">
        <f t="shared" si="2"/>
        <v>0</v>
      </c>
      <c r="AG57" s="103">
        <f t="shared" si="3"/>
        <v>0</v>
      </c>
      <c r="AH57" s="103">
        <f t="shared" si="4"/>
        <v>0</v>
      </c>
      <c r="AI57" s="103">
        <f t="shared" si="5"/>
        <v>0</v>
      </c>
      <c r="AJ57" s="103">
        <f t="shared" si="6"/>
        <v>0</v>
      </c>
      <c r="AK57" s="103">
        <f t="shared" si="7"/>
        <v>0</v>
      </c>
      <c r="AL57" s="103">
        <f t="shared" si="8"/>
        <v>0</v>
      </c>
      <c r="AM57" s="103">
        <f t="shared" si="9"/>
        <v>0</v>
      </c>
      <c r="AN57" s="103">
        <f t="shared" si="10"/>
        <v>0</v>
      </c>
      <c r="AO57" s="103">
        <f t="shared" si="11"/>
        <v>0</v>
      </c>
      <c r="AP57" s="103">
        <f t="shared" si="12"/>
        <v>0</v>
      </c>
      <c r="AQ57" s="103">
        <f t="shared" si="13"/>
        <v>0</v>
      </c>
      <c r="AR57" s="103">
        <f t="shared" si="14"/>
        <v>0</v>
      </c>
      <c r="AS57" s="103"/>
      <c r="AT57" s="103">
        <f t="shared" si="16"/>
        <v>0</v>
      </c>
      <c r="AU57" s="103">
        <f t="shared" si="34"/>
        <v>0</v>
      </c>
      <c r="AV57" s="103">
        <f t="shared" si="17"/>
        <v>0</v>
      </c>
      <c r="AW57" s="103">
        <f t="shared" si="18"/>
        <v>0</v>
      </c>
      <c r="AX57" s="103"/>
      <c r="AY57" s="104">
        <f t="shared" si="19"/>
        <v>0</v>
      </c>
      <c r="AZ57" s="104">
        <f t="shared" si="20"/>
        <v>0</v>
      </c>
      <c r="BA57" s="104">
        <f t="shared" si="21"/>
        <v>0</v>
      </c>
      <c r="BB57" s="104">
        <f t="shared" si="22"/>
        <v>0</v>
      </c>
      <c r="BC57" s="104">
        <f t="shared" si="23"/>
        <v>0</v>
      </c>
      <c r="BD57" s="104">
        <f t="shared" si="24"/>
        <v>0</v>
      </c>
      <c r="BE57" s="104">
        <f t="shared" si="25"/>
        <v>0</v>
      </c>
      <c r="BF57" s="104">
        <f t="shared" si="26"/>
        <v>0</v>
      </c>
      <c r="BG57" s="104">
        <f t="shared" si="27"/>
        <v>0</v>
      </c>
      <c r="BH57" s="104">
        <f t="shared" si="28"/>
        <v>0</v>
      </c>
      <c r="BI57" s="104">
        <f t="shared" si="29"/>
        <v>0</v>
      </c>
      <c r="BJ57" s="104">
        <f t="shared" si="30"/>
        <v>0</v>
      </c>
      <c r="BL57" s="104">
        <f t="shared" si="31"/>
        <v>0</v>
      </c>
      <c r="BM57" s="104">
        <f t="shared" si="32"/>
        <v>0</v>
      </c>
      <c r="BN57" s="104">
        <f t="shared" si="33"/>
        <v>0</v>
      </c>
    </row>
    <row r="58" spans="1:66" s="19" customFormat="1" ht="15" customHeight="1" x14ac:dyDescent="0.3">
      <c r="A58" s="105">
        <v>47</v>
      </c>
      <c r="B58" s="108"/>
      <c r="C58" s="85"/>
      <c r="D58" s="106"/>
      <c r="E58" s="107"/>
      <c r="F58" s="113"/>
      <c r="G58" s="114"/>
      <c r="H58" s="107"/>
      <c r="I58" s="107"/>
      <c r="J58" s="107"/>
      <c r="K58" s="107"/>
      <c r="L58" s="13"/>
      <c r="M58" s="13"/>
      <c r="N58" s="13"/>
      <c r="O58" s="13"/>
      <c r="P58" s="13"/>
      <c r="Q58" s="13"/>
      <c r="R58" s="13"/>
      <c r="S58" s="13"/>
      <c r="T58" s="13"/>
      <c r="U58" s="13"/>
      <c r="V58" s="13"/>
      <c r="W58" s="13"/>
      <c r="X58" s="13"/>
      <c r="AE58" s="103">
        <f t="shared" si="15"/>
        <v>0</v>
      </c>
      <c r="AF58" s="103">
        <f t="shared" si="2"/>
        <v>0</v>
      </c>
      <c r="AG58" s="103">
        <f t="shared" si="3"/>
        <v>0</v>
      </c>
      <c r="AH58" s="103">
        <f t="shared" si="4"/>
        <v>0</v>
      </c>
      <c r="AI58" s="103">
        <f t="shared" si="5"/>
        <v>0</v>
      </c>
      <c r="AJ58" s="103">
        <f t="shared" si="6"/>
        <v>0</v>
      </c>
      <c r="AK58" s="103">
        <f t="shared" si="7"/>
        <v>0</v>
      </c>
      <c r="AL58" s="103">
        <f t="shared" si="8"/>
        <v>0</v>
      </c>
      <c r="AM58" s="103">
        <f t="shared" si="9"/>
        <v>0</v>
      </c>
      <c r="AN58" s="103">
        <f t="shared" si="10"/>
        <v>0</v>
      </c>
      <c r="AO58" s="103">
        <f t="shared" si="11"/>
        <v>0</v>
      </c>
      <c r="AP58" s="103">
        <f t="shared" si="12"/>
        <v>0</v>
      </c>
      <c r="AQ58" s="103">
        <f t="shared" si="13"/>
        <v>0</v>
      </c>
      <c r="AR58" s="103">
        <f t="shared" si="14"/>
        <v>0</v>
      </c>
      <c r="AS58" s="103"/>
      <c r="AT58" s="103">
        <f t="shared" si="16"/>
        <v>0</v>
      </c>
      <c r="AU58" s="103">
        <f t="shared" si="34"/>
        <v>0</v>
      </c>
      <c r="AV58" s="103">
        <f t="shared" si="17"/>
        <v>0</v>
      </c>
      <c r="AW58" s="103">
        <f t="shared" si="18"/>
        <v>0</v>
      </c>
      <c r="AX58" s="103"/>
      <c r="AY58" s="104">
        <f t="shared" si="19"/>
        <v>0</v>
      </c>
      <c r="AZ58" s="104">
        <f t="shared" si="20"/>
        <v>0</v>
      </c>
      <c r="BA58" s="104">
        <f t="shared" si="21"/>
        <v>0</v>
      </c>
      <c r="BB58" s="104">
        <f t="shared" si="22"/>
        <v>0</v>
      </c>
      <c r="BC58" s="104">
        <f t="shared" si="23"/>
        <v>0</v>
      </c>
      <c r="BD58" s="104">
        <f t="shared" si="24"/>
        <v>0</v>
      </c>
      <c r="BE58" s="104">
        <f t="shared" si="25"/>
        <v>0</v>
      </c>
      <c r="BF58" s="104">
        <f t="shared" si="26"/>
        <v>0</v>
      </c>
      <c r="BG58" s="104">
        <f t="shared" si="27"/>
        <v>0</v>
      </c>
      <c r="BH58" s="104">
        <f t="shared" si="28"/>
        <v>0</v>
      </c>
      <c r="BI58" s="104">
        <f t="shared" si="29"/>
        <v>0</v>
      </c>
      <c r="BJ58" s="104">
        <f t="shared" si="30"/>
        <v>0</v>
      </c>
      <c r="BL58" s="104">
        <f t="shared" si="31"/>
        <v>0</v>
      </c>
      <c r="BM58" s="104">
        <f t="shared" si="32"/>
        <v>0</v>
      </c>
      <c r="BN58" s="104">
        <f t="shared" si="33"/>
        <v>0</v>
      </c>
    </row>
    <row r="59" spans="1:66" s="19" customFormat="1" ht="15" customHeight="1" x14ac:dyDescent="0.3">
      <c r="A59" s="105">
        <v>48</v>
      </c>
      <c r="B59" s="108"/>
      <c r="C59" s="85"/>
      <c r="D59" s="106"/>
      <c r="E59" s="107"/>
      <c r="F59" s="113"/>
      <c r="G59" s="114"/>
      <c r="H59" s="107"/>
      <c r="I59" s="107"/>
      <c r="J59" s="107"/>
      <c r="K59" s="107"/>
      <c r="L59" s="13"/>
      <c r="M59" s="13"/>
      <c r="N59" s="13"/>
      <c r="O59" s="13"/>
      <c r="P59" s="13"/>
      <c r="Q59" s="13"/>
      <c r="R59" s="13"/>
      <c r="S59" s="13"/>
      <c r="T59" s="13"/>
      <c r="U59" s="13"/>
      <c r="V59" s="13"/>
      <c r="W59" s="13"/>
      <c r="X59" s="13"/>
      <c r="AE59" s="103">
        <f t="shared" si="15"/>
        <v>0</v>
      </c>
      <c r="AF59" s="103">
        <f t="shared" si="2"/>
        <v>0</v>
      </c>
      <c r="AG59" s="103">
        <f t="shared" si="3"/>
        <v>0</v>
      </c>
      <c r="AH59" s="103">
        <f t="shared" si="4"/>
        <v>0</v>
      </c>
      <c r="AI59" s="103">
        <f t="shared" si="5"/>
        <v>0</v>
      </c>
      <c r="AJ59" s="103">
        <f t="shared" si="6"/>
        <v>0</v>
      </c>
      <c r="AK59" s="103">
        <f t="shared" si="7"/>
        <v>0</v>
      </c>
      <c r="AL59" s="103">
        <f t="shared" si="8"/>
        <v>0</v>
      </c>
      <c r="AM59" s="103">
        <f t="shared" si="9"/>
        <v>0</v>
      </c>
      <c r="AN59" s="103">
        <f t="shared" si="10"/>
        <v>0</v>
      </c>
      <c r="AO59" s="103">
        <f t="shared" si="11"/>
        <v>0</v>
      </c>
      <c r="AP59" s="103">
        <f t="shared" si="12"/>
        <v>0</v>
      </c>
      <c r="AQ59" s="103">
        <f t="shared" si="13"/>
        <v>0</v>
      </c>
      <c r="AR59" s="103">
        <f t="shared" si="14"/>
        <v>0</v>
      </c>
      <c r="AS59" s="103"/>
      <c r="AT59" s="103">
        <f t="shared" si="16"/>
        <v>0</v>
      </c>
      <c r="AU59" s="103">
        <f t="shared" si="34"/>
        <v>0</v>
      </c>
      <c r="AV59" s="103">
        <f t="shared" si="17"/>
        <v>0</v>
      </c>
      <c r="AW59" s="103">
        <f t="shared" si="18"/>
        <v>0</v>
      </c>
      <c r="AX59" s="103"/>
      <c r="AY59" s="104">
        <f t="shared" si="19"/>
        <v>0</v>
      </c>
      <c r="AZ59" s="104">
        <f t="shared" si="20"/>
        <v>0</v>
      </c>
      <c r="BA59" s="104">
        <f t="shared" si="21"/>
        <v>0</v>
      </c>
      <c r="BB59" s="104">
        <f t="shared" si="22"/>
        <v>0</v>
      </c>
      <c r="BC59" s="104">
        <f t="shared" si="23"/>
        <v>0</v>
      </c>
      <c r="BD59" s="104">
        <f t="shared" si="24"/>
        <v>0</v>
      </c>
      <c r="BE59" s="104">
        <f t="shared" si="25"/>
        <v>0</v>
      </c>
      <c r="BF59" s="104">
        <f t="shared" si="26"/>
        <v>0</v>
      </c>
      <c r="BG59" s="104">
        <f t="shared" si="27"/>
        <v>0</v>
      </c>
      <c r="BH59" s="104">
        <f t="shared" si="28"/>
        <v>0</v>
      </c>
      <c r="BI59" s="104">
        <f t="shared" si="29"/>
        <v>0</v>
      </c>
      <c r="BJ59" s="104">
        <f t="shared" si="30"/>
        <v>0</v>
      </c>
      <c r="BL59" s="104">
        <f t="shared" si="31"/>
        <v>0</v>
      </c>
      <c r="BM59" s="104">
        <f t="shared" si="32"/>
        <v>0</v>
      </c>
      <c r="BN59" s="104">
        <f t="shared" si="33"/>
        <v>0</v>
      </c>
    </row>
    <row r="60" spans="1:66" s="19" customFormat="1" ht="15" customHeight="1" x14ac:dyDescent="0.3">
      <c r="A60" s="105">
        <v>49</v>
      </c>
      <c r="B60" s="108"/>
      <c r="C60" s="85"/>
      <c r="D60" s="106"/>
      <c r="E60" s="107"/>
      <c r="F60" s="113"/>
      <c r="G60" s="114"/>
      <c r="H60" s="107"/>
      <c r="I60" s="107"/>
      <c r="J60" s="107"/>
      <c r="K60" s="107"/>
      <c r="L60" s="13"/>
      <c r="M60" s="13"/>
      <c r="N60" s="13"/>
      <c r="O60" s="13"/>
      <c r="P60" s="13"/>
      <c r="Q60" s="13"/>
      <c r="R60" s="13"/>
      <c r="S60" s="13"/>
      <c r="T60" s="13"/>
      <c r="U60" s="13"/>
      <c r="V60" s="13"/>
      <c r="W60" s="13"/>
      <c r="X60" s="13"/>
      <c r="AE60" s="103">
        <f t="shared" si="15"/>
        <v>0</v>
      </c>
      <c r="AF60" s="103">
        <f t="shared" si="2"/>
        <v>0</v>
      </c>
      <c r="AG60" s="103">
        <f t="shared" si="3"/>
        <v>0</v>
      </c>
      <c r="AH60" s="103">
        <f t="shared" si="4"/>
        <v>0</v>
      </c>
      <c r="AI60" s="103">
        <f t="shared" si="5"/>
        <v>0</v>
      </c>
      <c r="AJ60" s="103">
        <f t="shared" si="6"/>
        <v>0</v>
      </c>
      <c r="AK60" s="103">
        <f t="shared" si="7"/>
        <v>0</v>
      </c>
      <c r="AL60" s="103">
        <f t="shared" si="8"/>
        <v>0</v>
      </c>
      <c r="AM60" s="103">
        <f t="shared" si="9"/>
        <v>0</v>
      </c>
      <c r="AN60" s="103">
        <f t="shared" si="10"/>
        <v>0</v>
      </c>
      <c r="AO60" s="103">
        <f t="shared" si="11"/>
        <v>0</v>
      </c>
      <c r="AP60" s="103">
        <f t="shared" si="12"/>
        <v>0</v>
      </c>
      <c r="AQ60" s="103">
        <f t="shared" si="13"/>
        <v>0</v>
      </c>
      <c r="AR60" s="103">
        <f t="shared" si="14"/>
        <v>0</v>
      </c>
      <c r="AS60" s="103"/>
      <c r="AT60" s="103">
        <f t="shared" si="16"/>
        <v>0</v>
      </c>
      <c r="AU60" s="103">
        <f t="shared" si="34"/>
        <v>0</v>
      </c>
      <c r="AV60" s="103">
        <f t="shared" si="17"/>
        <v>0</v>
      </c>
      <c r="AW60" s="103">
        <f t="shared" si="18"/>
        <v>0</v>
      </c>
      <c r="AX60" s="103"/>
      <c r="AY60" s="104">
        <f t="shared" si="19"/>
        <v>0</v>
      </c>
      <c r="AZ60" s="104">
        <f t="shared" si="20"/>
        <v>0</v>
      </c>
      <c r="BA60" s="104">
        <f t="shared" si="21"/>
        <v>0</v>
      </c>
      <c r="BB60" s="104">
        <f t="shared" si="22"/>
        <v>0</v>
      </c>
      <c r="BC60" s="104">
        <f t="shared" si="23"/>
        <v>0</v>
      </c>
      <c r="BD60" s="104">
        <f t="shared" si="24"/>
        <v>0</v>
      </c>
      <c r="BE60" s="104">
        <f t="shared" si="25"/>
        <v>0</v>
      </c>
      <c r="BF60" s="104">
        <f t="shared" si="26"/>
        <v>0</v>
      </c>
      <c r="BG60" s="104">
        <f t="shared" si="27"/>
        <v>0</v>
      </c>
      <c r="BH60" s="104">
        <f t="shared" si="28"/>
        <v>0</v>
      </c>
      <c r="BI60" s="104">
        <f t="shared" si="29"/>
        <v>0</v>
      </c>
      <c r="BJ60" s="104">
        <f t="shared" si="30"/>
        <v>0</v>
      </c>
      <c r="BL60" s="104">
        <f t="shared" si="31"/>
        <v>0</v>
      </c>
      <c r="BM60" s="104">
        <f t="shared" si="32"/>
        <v>0</v>
      </c>
      <c r="BN60" s="104">
        <f t="shared" si="33"/>
        <v>0</v>
      </c>
    </row>
    <row r="61" spans="1:66" s="19" customFormat="1" ht="15" customHeight="1" x14ac:dyDescent="0.3">
      <c r="A61" s="105">
        <v>50</v>
      </c>
      <c r="B61" s="108"/>
      <c r="C61" s="85"/>
      <c r="D61" s="106"/>
      <c r="E61" s="107"/>
      <c r="F61" s="113"/>
      <c r="G61" s="114"/>
      <c r="H61" s="107"/>
      <c r="I61" s="107"/>
      <c r="J61" s="107"/>
      <c r="K61" s="107"/>
      <c r="L61" s="13"/>
      <c r="M61" s="13"/>
      <c r="N61" s="13"/>
      <c r="O61" s="13"/>
      <c r="P61" s="13"/>
      <c r="Q61" s="13"/>
      <c r="R61" s="13"/>
      <c r="S61" s="13"/>
      <c r="T61" s="13"/>
      <c r="U61" s="13"/>
      <c r="V61" s="13"/>
      <c r="W61" s="13"/>
      <c r="X61" s="13"/>
      <c r="AE61" s="103">
        <f t="shared" si="15"/>
        <v>0</v>
      </c>
      <c r="AF61" s="103">
        <f t="shared" si="2"/>
        <v>0</v>
      </c>
      <c r="AG61" s="103">
        <f t="shared" si="3"/>
        <v>0</v>
      </c>
      <c r="AH61" s="103">
        <f t="shared" si="4"/>
        <v>0</v>
      </c>
      <c r="AI61" s="103">
        <f t="shared" si="5"/>
        <v>0</v>
      </c>
      <c r="AJ61" s="103">
        <f t="shared" si="6"/>
        <v>0</v>
      </c>
      <c r="AK61" s="103">
        <f t="shared" si="7"/>
        <v>0</v>
      </c>
      <c r="AL61" s="103">
        <f t="shared" si="8"/>
        <v>0</v>
      </c>
      <c r="AM61" s="103">
        <f t="shared" si="9"/>
        <v>0</v>
      </c>
      <c r="AN61" s="103">
        <f t="shared" si="10"/>
        <v>0</v>
      </c>
      <c r="AO61" s="103">
        <f t="shared" si="11"/>
        <v>0</v>
      </c>
      <c r="AP61" s="103">
        <f t="shared" si="12"/>
        <v>0</v>
      </c>
      <c r="AQ61" s="103">
        <f t="shared" si="13"/>
        <v>0</v>
      </c>
      <c r="AR61" s="103">
        <f t="shared" si="14"/>
        <v>0</v>
      </c>
      <c r="AS61" s="103"/>
      <c r="AT61" s="103">
        <f t="shared" si="16"/>
        <v>0</v>
      </c>
      <c r="AU61" s="103">
        <f t="shared" si="34"/>
        <v>0</v>
      </c>
      <c r="AV61" s="103">
        <f t="shared" si="17"/>
        <v>0</v>
      </c>
      <c r="AW61" s="103">
        <f t="shared" si="18"/>
        <v>0</v>
      </c>
      <c r="AX61" s="103"/>
      <c r="AY61" s="104">
        <f t="shared" si="19"/>
        <v>0</v>
      </c>
      <c r="AZ61" s="104">
        <f t="shared" si="20"/>
        <v>0</v>
      </c>
      <c r="BA61" s="104">
        <f t="shared" si="21"/>
        <v>0</v>
      </c>
      <c r="BB61" s="104">
        <f t="shared" si="22"/>
        <v>0</v>
      </c>
      <c r="BC61" s="104">
        <f t="shared" si="23"/>
        <v>0</v>
      </c>
      <c r="BD61" s="104">
        <f t="shared" si="24"/>
        <v>0</v>
      </c>
      <c r="BE61" s="104">
        <f t="shared" si="25"/>
        <v>0</v>
      </c>
      <c r="BF61" s="104">
        <f t="shared" si="26"/>
        <v>0</v>
      </c>
      <c r="BG61" s="104">
        <f t="shared" si="27"/>
        <v>0</v>
      </c>
      <c r="BH61" s="104">
        <f t="shared" si="28"/>
        <v>0</v>
      </c>
      <c r="BI61" s="104">
        <f t="shared" si="29"/>
        <v>0</v>
      </c>
      <c r="BJ61" s="104">
        <f t="shared" si="30"/>
        <v>0</v>
      </c>
      <c r="BL61" s="104">
        <f t="shared" si="31"/>
        <v>0</v>
      </c>
      <c r="BM61" s="104">
        <f t="shared" si="32"/>
        <v>0</v>
      </c>
      <c r="BN61" s="104">
        <f t="shared" si="33"/>
        <v>0</v>
      </c>
    </row>
    <row r="62" spans="1:66" s="19" customFormat="1" ht="15" customHeight="1" x14ac:dyDescent="0.3">
      <c r="A62" s="122"/>
      <c r="B62" s="123"/>
      <c r="C62" s="73"/>
      <c r="D62" s="32"/>
      <c r="E62" s="124"/>
      <c r="F62" s="125"/>
      <c r="G62" s="126"/>
      <c r="H62" s="124"/>
      <c r="I62" s="124"/>
      <c r="J62" s="124"/>
      <c r="K62" s="124"/>
      <c r="L62" s="13"/>
      <c r="M62" s="13"/>
      <c r="N62" s="13"/>
      <c r="O62" s="13"/>
      <c r="P62" s="13"/>
      <c r="Q62" s="13"/>
      <c r="R62" s="13"/>
      <c r="S62" s="13"/>
      <c r="T62" s="13"/>
      <c r="U62" s="13"/>
      <c r="V62" s="13"/>
      <c r="W62" s="13"/>
      <c r="X62" s="13"/>
      <c r="AE62" s="103">
        <f t="shared" si="15"/>
        <v>0</v>
      </c>
      <c r="AF62" s="103">
        <f t="shared" si="2"/>
        <v>0</v>
      </c>
      <c r="AG62" s="103">
        <f t="shared" si="3"/>
        <v>0</v>
      </c>
      <c r="AH62" s="103">
        <f t="shared" si="4"/>
        <v>0</v>
      </c>
      <c r="AI62" s="103">
        <f t="shared" si="5"/>
        <v>0</v>
      </c>
      <c r="AJ62" s="103">
        <f t="shared" si="6"/>
        <v>0</v>
      </c>
      <c r="AK62" s="103">
        <f t="shared" si="7"/>
        <v>0</v>
      </c>
      <c r="AL62" s="103">
        <f t="shared" si="8"/>
        <v>0</v>
      </c>
      <c r="AM62" s="103">
        <f t="shared" si="9"/>
        <v>0</v>
      </c>
      <c r="AN62" s="103">
        <f t="shared" si="10"/>
        <v>0</v>
      </c>
      <c r="AO62" s="103">
        <f t="shared" si="11"/>
        <v>0</v>
      </c>
      <c r="AP62" s="103">
        <f t="shared" si="12"/>
        <v>0</v>
      </c>
      <c r="AQ62" s="103">
        <f t="shared" si="13"/>
        <v>0</v>
      </c>
      <c r="AR62" s="103">
        <f t="shared" si="14"/>
        <v>0</v>
      </c>
      <c r="AS62" s="103"/>
      <c r="AT62" s="103">
        <f t="shared" si="16"/>
        <v>0</v>
      </c>
      <c r="AU62" s="103">
        <f t="shared" si="34"/>
        <v>0</v>
      </c>
      <c r="AV62" s="103">
        <f t="shared" si="17"/>
        <v>0</v>
      </c>
      <c r="AW62" s="103">
        <f t="shared" si="18"/>
        <v>0</v>
      </c>
      <c r="AX62" s="103"/>
      <c r="AY62" s="104">
        <f t="shared" si="19"/>
        <v>0</v>
      </c>
      <c r="AZ62" s="104">
        <f t="shared" si="20"/>
        <v>0</v>
      </c>
      <c r="BA62" s="104">
        <f t="shared" si="21"/>
        <v>0</v>
      </c>
      <c r="BB62" s="104">
        <f t="shared" si="22"/>
        <v>0</v>
      </c>
      <c r="BC62" s="104">
        <f t="shared" si="23"/>
        <v>0</v>
      </c>
      <c r="BD62" s="104">
        <f t="shared" si="24"/>
        <v>0</v>
      </c>
      <c r="BE62" s="104">
        <f t="shared" si="25"/>
        <v>0</v>
      </c>
      <c r="BF62" s="104">
        <f t="shared" si="26"/>
        <v>0</v>
      </c>
      <c r="BG62" s="104">
        <f t="shared" si="27"/>
        <v>0</v>
      </c>
      <c r="BH62" s="104">
        <f t="shared" si="28"/>
        <v>0</v>
      </c>
      <c r="BI62" s="104">
        <f t="shared" si="29"/>
        <v>0</v>
      </c>
      <c r="BJ62" s="104">
        <f t="shared" si="30"/>
        <v>0</v>
      </c>
      <c r="BL62" s="104">
        <f t="shared" si="31"/>
        <v>0</v>
      </c>
      <c r="BM62" s="104">
        <f t="shared" si="32"/>
        <v>0</v>
      </c>
      <c r="BN62" s="104">
        <f t="shared" si="33"/>
        <v>0</v>
      </c>
    </row>
    <row r="63" spans="1:66" s="19" customFormat="1" ht="15" customHeight="1" x14ac:dyDescent="0.3">
      <c r="A63" s="115">
        <v>51</v>
      </c>
      <c r="B63" s="116"/>
      <c r="C63" s="117"/>
      <c r="D63" s="118"/>
      <c r="E63" s="119"/>
      <c r="F63" s="120"/>
      <c r="G63" s="121"/>
      <c r="H63" s="119"/>
      <c r="I63" s="119"/>
      <c r="J63" s="119"/>
      <c r="K63" s="119"/>
      <c r="L63" s="13" t="s">
        <v>100</v>
      </c>
      <c r="M63" s="13"/>
      <c r="N63" s="13"/>
      <c r="O63" s="13"/>
      <c r="P63" s="13"/>
      <c r="Q63" s="13"/>
      <c r="R63" s="13"/>
      <c r="S63" s="13"/>
      <c r="T63" s="13"/>
      <c r="U63" s="13"/>
      <c r="V63" s="13"/>
      <c r="W63" s="13"/>
      <c r="X63" s="13"/>
      <c r="AE63" s="103"/>
      <c r="AF63" s="103"/>
      <c r="AG63" s="103"/>
      <c r="AH63" s="103"/>
      <c r="AI63" s="103"/>
      <c r="AJ63" s="103"/>
      <c r="AK63" s="103"/>
      <c r="AL63" s="103"/>
      <c r="AM63" s="103"/>
      <c r="AN63" s="103"/>
      <c r="AO63" s="103"/>
      <c r="AP63" s="103"/>
      <c r="AQ63" s="103"/>
      <c r="AR63" s="103"/>
      <c r="AS63" s="103"/>
      <c r="AT63" s="103"/>
      <c r="AU63" s="103"/>
      <c r="AV63" s="103"/>
      <c r="AW63" s="103"/>
      <c r="AX63" s="103"/>
      <c r="AY63" s="104"/>
      <c r="AZ63" s="104"/>
      <c r="BA63" s="104"/>
      <c r="BB63" s="104"/>
      <c r="BC63" s="104"/>
      <c r="BD63" s="104"/>
      <c r="BE63" s="104"/>
      <c r="BF63" s="104"/>
      <c r="BG63" s="104"/>
      <c r="BH63" s="104"/>
      <c r="BI63" s="104"/>
      <c r="BJ63" s="104"/>
      <c r="BL63" s="104"/>
      <c r="BM63" s="104"/>
      <c r="BN63" s="104"/>
    </row>
    <row r="64" spans="1:66" s="19" customFormat="1" ht="15" customHeight="1" x14ac:dyDescent="0.3">
      <c r="A64" s="96">
        <v>52</v>
      </c>
      <c r="B64" s="97"/>
      <c r="C64" s="98"/>
      <c r="D64" s="99"/>
      <c r="E64" s="100"/>
      <c r="F64" s="101"/>
      <c r="G64" s="102"/>
      <c r="H64" s="100"/>
      <c r="I64" s="100"/>
      <c r="J64" s="100"/>
      <c r="K64" s="100"/>
      <c r="M64" s="13"/>
      <c r="N64" s="13"/>
      <c r="O64" s="13"/>
      <c r="P64" s="13"/>
      <c r="Q64" s="13"/>
      <c r="R64" s="13"/>
      <c r="S64" s="13"/>
      <c r="T64" s="13"/>
      <c r="U64" s="13"/>
      <c r="V64" s="13"/>
      <c r="W64" s="13"/>
      <c r="X64" s="13"/>
      <c r="AE64" s="103">
        <f t="shared" si="15"/>
        <v>0</v>
      </c>
      <c r="AF64" s="103">
        <f t="shared" si="2"/>
        <v>0</v>
      </c>
      <c r="AG64" s="103">
        <f t="shared" si="3"/>
        <v>0</v>
      </c>
      <c r="AH64" s="103">
        <f t="shared" si="4"/>
        <v>0</v>
      </c>
      <c r="AI64" s="103">
        <f t="shared" si="5"/>
        <v>0</v>
      </c>
      <c r="AJ64" s="103">
        <f t="shared" si="6"/>
        <v>0</v>
      </c>
      <c r="AK64" s="103">
        <f t="shared" si="7"/>
        <v>0</v>
      </c>
      <c r="AL64" s="103">
        <f t="shared" si="8"/>
        <v>0</v>
      </c>
      <c r="AM64" s="103">
        <f t="shared" si="9"/>
        <v>0</v>
      </c>
      <c r="AN64" s="103">
        <f t="shared" si="10"/>
        <v>0</v>
      </c>
      <c r="AO64" s="103">
        <f t="shared" si="11"/>
        <v>0</v>
      </c>
      <c r="AP64" s="103">
        <f t="shared" si="12"/>
        <v>0</v>
      </c>
      <c r="AQ64" s="103">
        <f t="shared" si="13"/>
        <v>0</v>
      </c>
      <c r="AR64" s="103">
        <f t="shared" si="14"/>
        <v>0</v>
      </c>
      <c r="AS64" s="103"/>
      <c r="AT64" s="103">
        <f t="shared" si="16"/>
        <v>0</v>
      </c>
      <c r="AU64" s="103">
        <f t="shared" si="34"/>
        <v>0</v>
      </c>
      <c r="AV64" s="103">
        <f t="shared" si="17"/>
        <v>0</v>
      </c>
      <c r="AW64" s="103">
        <f t="shared" si="18"/>
        <v>0</v>
      </c>
      <c r="AX64" s="103"/>
      <c r="AY64" s="104">
        <f t="shared" si="19"/>
        <v>0</v>
      </c>
      <c r="AZ64" s="104">
        <f t="shared" si="20"/>
        <v>0</v>
      </c>
      <c r="BA64" s="104">
        <f t="shared" si="21"/>
        <v>0</v>
      </c>
      <c r="BB64" s="104">
        <f t="shared" si="22"/>
        <v>0</v>
      </c>
      <c r="BC64" s="104">
        <f t="shared" si="23"/>
        <v>0</v>
      </c>
      <c r="BD64" s="104">
        <f t="shared" si="24"/>
        <v>0</v>
      </c>
      <c r="BE64" s="104">
        <f t="shared" si="25"/>
        <v>0</v>
      </c>
      <c r="BF64" s="104">
        <f t="shared" si="26"/>
        <v>0</v>
      </c>
      <c r="BG64" s="104">
        <f t="shared" si="27"/>
        <v>0</v>
      </c>
      <c r="BH64" s="104">
        <f t="shared" si="28"/>
        <v>0</v>
      </c>
      <c r="BI64" s="104">
        <f t="shared" si="29"/>
        <v>0</v>
      </c>
      <c r="BJ64" s="104">
        <f t="shared" si="30"/>
        <v>0</v>
      </c>
      <c r="BL64" s="104">
        <f t="shared" si="31"/>
        <v>0</v>
      </c>
      <c r="BM64" s="104">
        <f t="shared" si="32"/>
        <v>0</v>
      </c>
      <c r="BN64" s="104">
        <f t="shared" si="33"/>
        <v>0</v>
      </c>
    </row>
    <row r="65" spans="1:66" s="19" customFormat="1" ht="15" customHeight="1" x14ac:dyDescent="0.3">
      <c r="A65" s="105">
        <v>53</v>
      </c>
      <c r="B65" s="108"/>
      <c r="C65" s="85"/>
      <c r="D65" s="106"/>
      <c r="E65" s="107"/>
      <c r="F65" s="113"/>
      <c r="G65" s="114"/>
      <c r="H65" s="107"/>
      <c r="I65" s="107"/>
      <c r="J65" s="107"/>
      <c r="K65" s="107"/>
      <c r="L65" s="13"/>
      <c r="M65" s="13"/>
      <c r="N65" s="13"/>
      <c r="O65" s="13"/>
      <c r="P65" s="13"/>
      <c r="Q65" s="13"/>
      <c r="R65" s="13"/>
      <c r="S65" s="13"/>
      <c r="T65" s="13"/>
      <c r="U65" s="13"/>
      <c r="V65" s="13"/>
      <c r="W65" s="13"/>
      <c r="X65" s="13"/>
      <c r="AE65" s="103">
        <f t="shared" si="15"/>
        <v>0</v>
      </c>
      <c r="AF65" s="103">
        <f t="shared" si="2"/>
        <v>0</v>
      </c>
      <c r="AG65" s="103">
        <f t="shared" si="3"/>
        <v>0</v>
      </c>
      <c r="AH65" s="103">
        <f t="shared" si="4"/>
        <v>0</v>
      </c>
      <c r="AI65" s="103">
        <f t="shared" si="5"/>
        <v>0</v>
      </c>
      <c r="AJ65" s="103">
        <f t="shared" si="6"/>
        <v>0</v>
      </c>
      <c r="AK65" s="103">
        <f t="shared" si="7"/>
        <v>0</v>
      </c>
      <c r="AL65" s="103">
        <f t="shared" si="8"/>
        <v>0</v>
      </c>
      <c r="AM65" s="103">
        <f t="shared" si="9"/>
        <v>0</v>
      </c>
      <c r="AN65" s="103">
        <f t="shared" si="10"/>
        <v>0</v>
      </c>
      <c r="AO65" s="103">
        <f t="shared" si="11"/>
        <v>0</v>
      </c>
      <c r="AP65" s="103">
        <f t="shared" si="12"/>
        <v>0</v>
      </c>
      <c r="AQ65" s="103">
        <f t="shared" si="13"/>
        <v>0</v>
      </c>
      <c r="AR65" s="103">
        <f t="shared" si="14"/>
        <v>0</v>
      </c>
      <c r="AS65" s="103"/>
      <c r="AT65" s="103">
        <f t="shared" si="16"/>
        <v>0</v>
      </c>
      <c r="AU65" s="103">
        <f t="shared" si="34"/>
        <v>0</v>
      </c>
      <c r="AV65" s="103">
        <f t="shared" si="17"/>
        <v>0</v>
      </c>
      <c r="AW65" s="103">
        <f t="shared" si="18"/>
        <v>0</v>
      </c>
      <c r="AX65" s="103"/>
      <c r="AY65" s="104">
        <f t="shared" si="19"/>
        <v>0</v>
      </c>
      <c r="AZ65" s="104">
        <f t="shared" si="20"/>
        <v>0</v>
      </c>
      <c r="BA65" s="104">
        <f t="shared" si="21"/>
        <v>0</v>
      </c>
      <c r="BB65" s="104">
        <f t="shared" si="22"/>
        <v>0</v>
      </c>
      <c r="BC65" s="104">
        <f t="shared" si="23"/>
        <v>0</v>
      </c>
      <c r="BD65" s="104">
        <f t="shared" si="24"/>
        <v>0</v>
      </c>
      <c r="BE65" s="104">
        <f t="shared" si="25"/>
        <v>0</v>
      </c>
      <c r="BF65" s="104">
        <f t="shared" si="26"/>
        <v>0</v>
      </c>
      <c r="BG65" s="104">
        <f t="shared" si="27"/>
        <v>0</v>
      </c>
      <c r="BH65" s="104">
        <f t="shared" si="28"/>
        <v>0</v>
      </c>
      <c r="BI65" s="104">
        <f t="shared" si="29"/>
        <v>0</v>
      </c>
      <c r="BJ65" s="104">
        <f t="shared" si="30"/>
        <v>0</v>
      </c>
      <c r="BL65" s="104">
        <f t="shared" si="31"/>
        <v>0</v>
      </c>
      <c r="BM65" s="104">
        <f t="shared" si="32"/>
        <v>0</v>
      </c>
      <c r="BN65" s="104">
        <f t="shared" si="33"/>
        <v>0</v>
      </c>
    </row>
    <row r="66" spans="1:66" s="19" customFormat="1" ht="15" customHeight="1" x14ac:dyDescent="0.3">
      <c r="A66" s="105">
        <v>54</v>
      </c>
      <c r="B66" s="108"/>
      <c r="C66" s="85"/>
      <c r="D66" s="106"/>
      <c r="E66" s="107"/>
      <c r="F66" s="113"/>
      <c r="G66" s="114"/>
      <c r="H66" s="107"/>
      <c r="I66" s="107"/>
      <c r="J66" s="107"/>
      <c r="K66" s="107"/>
      <c r="L66" s="13"/>
      <c r="M66" s="13"/>
      <c r="N66" s="13"/>
      <c r="O66" s="13"/>
      <c r="P66" s="13"/>
      <c r="Q66" s="13"/>
      <c r="R66" s="13"/>
      <c r="S66" s="13"/>
      <c r="T66" s="13"/>
      <c r="U66" s="13"/>
      <c r="V66" s="13"/>
      <c r="W66" s="13"/>
      <c r="X66" s="13"/>
      <c r="AE66" s="103">
        <f t="shared" si="15"/>
        <v>0</v>
      </c>
      <c r="AF66" s="103">
        <f t="shared" si="2"/>
        <v>0</v>
      </c>
      <c r="AG66" s="103">
        <f t="shared" si="3"/>
        <v>0</v>
      </c>
      <c r="AH66" s="103">
        <f t="shared" si="4"/>
        <v>0</v>
      </c>
      <c r="AI66" s="103">
        <f t="shared" si="5"/>
        <v>0</v>
      </c>
      <c r="AJ66" s="103">
        <f t="shared" si="6"/>
        <v>0</v>
      </c>
      <c r="AK66" s="103">
        <f t="shared" si="7"/>
        <v>0</v>
      </c>
      <c r="AL66" s="103">
        <f t="shared" si="8"/>
        <v>0</v>
      </c>
      <c r="AM66" s="103">
        <f t="shared" si="9"/>
        <v>0</v>
      </c>
      <c r="AN66" s="103">
        <f t="shared" si="10"/>
        <v>0</v>
      </c>
      <c r="AO66" s="103">
        <f t="shared" si="11"/>
        <v>0</v>
      </c>
      <c r="AP66" s="103">
        <f t="shared" si="12"/>
        <v>0</v>
      </c>
      <c r="AQ66" s="103">
        <f t="shared" si="13"/>
        <v>0</v>
      </c>
      <c r="AR66" s="103">
        <f t="shared" si="14"/>
        <v>0</v>
      </c>
      <c r="AS66" s="103"/>
      <c r="AT66" s="103">
        <f t="shared" si="16"/>
        <v>0</v>
      </c>
      <c r="AU66" s="103">
        <f t="shared" si="34"/>
        <v>0</v>
      </c>
      <c r="AV66" s="103">
        <f t="shared" si="17"/>
        <v>0</v>
      </c>
      <c r="AW66" s="103">
        <f t="shared" si="18"/>
        <v>0</v>
      </c>
      <c r="AX66" s="103"/>
      <c r="AY66" s="104">
        <f t="shared" si="19"/>
        <v>0</v>
      </c>
      <c r="AZ66" s="104">
        <f t="shared" si="20"/>
        <v>0</v>
      </c>
      <c r="BA66" s="104">
        <f t="shared" si="21"/>
        <v>0</v>
      </c>
      <c r="BB66" s="104">
        <f t="shared" si="22"/>
        <v>0</v>
      </c>
      <c r="BC66" s="104">
        <f t="shared" si="23"/>
        <v>0</v>
      </c>
      <c r="BD66" s="104">
        <f t="shared" si="24"/>
        <v>0</v>
      </c>
      <c r="BE66" s="104">
        <f t="shared" si="25"/>
        <v>0</v>
      </c>
      <c r="BF66" s="104">
        <f t="shared" si="26"/>
        <v>0</v>
      </c>
      <c r="BG66" s="104">
        <f t="shared" si="27"/>
        <v>0</v>
      </c>
      <c r="BH66" s="104">
        <f t="shared" si="28"/>
        <v>0</v>
      </c>
      <c r="BI66" s="104">
        <f t="shared" si="29"/>
        <v>0</v>
      </c>
      <c r="BJ66" s="104">
        <f t="shared" si="30"/>
        <v>0</v>
      </c>
      <c r="BL66" s="104">
        <f t="shared" si="31"/>
        <v>0</v>
      </c>
      <c r="BM66" s="104">
        <f t="shared" si="32"/>
        <v>0</v>
      </c>
      <c r="BN66" s="104">
        <f t="shared" si="33"/>
        <v>0</v>
      </c>
    </row>
    <row r="67" spans="1:66" s="19" customFormat="1" ht="15" customHeight="1" x14ac:dyDescent="0.3">
      <c r="A67" s="105">
        <v>55</v>
      </c>
      <c r="B67" s="108"/>
      <c r="C67" s="85"/>
      <c r="D67" s="106"/>
      <c r="E67" s="107"/>
      <c r="F67" s="113"/>
      <c r="G67" s="114"/>
      <c r="H67" s="107"/>
      <c r="I67" s="107"/>
      <c r="J67" s="107"/>
      <c r="K67" s="107"/>
      <c r="L67" s="13"/>
      <c r="M67" s="13"/>
      <c r="N67" s="13"/>
      <c r="O67" s="13"/>
      <c r="P67" s="13"/>
      <c r="Q67" s="13"/>
      <c r="R67" s="13"/>
      <c r="S67" s="13"/>
      <c r="T67" s="13"/>
      <c r="U67" s="13"/>
      <c r="V67" s="13"/>
      <c r="W67" s="13"/>
      <c r="X67" s="13"/>
      <c r="AE67" s="103">
        <f t="shared" si="15"/>
        <v>0</v>
      </c>
      <c r="AF67" s="103">
        <f t="shared" si="2"/>
        <v>0</v>
      </c>
      <c r="AG67" s="103">
        <f t="shared" si="3"/>
        <v>0</v>
      </c>
      <c r="AH67" s="103">
        <f t="shared" si="4"/>
        <v>0</v>
      </c>
      <c r="AI67" s="103">
        <f t="shared" si="5"/>
        <v>0</v>
      </c>
      <c r="AJ67" s="103">
        <f t="shared" si="6"/>
        <v>0</v>
      </c>
      <c r="AK67" s="103">
        <f t="shared" si="7"/>
        <v>0</v>
      </c>
      <c r="AL67" s="103">
        <f t="shared" si="8"/>
        <v>0</v>
      </c>
      <c r="AM67" s="103">
        <f t="shared" si="9"/>
        <v>0</v>
      </c>
      <c r="AN67" s="103">
        <f t="shared" si="10"/>
        <v>0</v>
      </c>
      <c r="AO67" s="103">
        <f t="shared" si="11"/>
        <v>0</v>
      </c>
      <c r="AP67" s="103">
        <f t="shared" si="12"/>
        <v>0</v>
      </c>
      <c r="AQ67" s="103">
        <f t="shared" si="13"/>
        <v>0</v>
      </c>
      <c r="AR67" s="103">
        <f t="shared" si="14"/>
        <v>0</v>
      </c>
      <c r="AS67" s="103"/>
      <c r="AT67" s="103">
        <f t="shared" si="16"/>
        <v>0</v>
      </c>
      <c r="AU67" s="103">
        <f t="shared" si="34"/>
        <v>0</v>
      </c>
      <c r="AV67" s="103">
        <f t="shared" si="17"/>
        <v>0</v>
      </c>
      <c r="AW67" s="103">
        <f t="shared" si="18"/>
        <v>0</v>
      </c>
      <c r="AX67" s="103"/>
      <c r="AY67" s="104">
        <f t="shared" si="19"/>
        <v>0</v>
      </c>
      <c r="AZ67" s="104">
        <f t="shared" si="20"/>
        <v>0</v>
      </c>
      <c r="BA67" s="104">
        <f t="shared" si="21"/>
        <v>0</v>
      </c>
      <c r="BB67" s="104">
        <f t="shared" si="22"/>
        <v>0</v>
      </c>
      <c r="BC67" s="104">
        <f t="shared" si="23"/>
        <v>0</v>
      </c>
      <c r="BD67" s="104">
        <f t="shared" si="24"/>
        <v>0</v>
      </c>
      <c r="BE67" s="104">
        <f t="shared" si="25"/>
        <v>0</v>
      </c>
      <c r="BF67" s="104">
        <f t="shared" si="26"/>
        <v>0</v>
      </c>
      <c r="BG67" s="104">
        <f t="shared" si="27"/>
        <v>0</v>
      </c>
      <c r="BH67" s="104">
        <f t="shared" si="28"/>
        <v>0</v>
      </c>
      <c r="BI67" s="104">
        <f t="shared" si="29"/>
        <v>0</v>
      </c>
      <c r="BJ67" s="104">
        <f t="shared" si="30"/>
        <v>0</v>
      </c>
      <c r="BL67" s="104">
        <f t="shared" si="31"/>
        <v>0</v>
      </c>
      <c r="BM67" s="104">
        <f t="shared" si="32"/>
        <v>0</v>
      </c>
      <c r="BN67" s="104">
        <f t="shared" si="33"/>
        <v>0</v>
      </c>
    </row>
    <row r="68" spans="1:66" s="19" customFormat="1" ht="15" customHeight="1" x14ac:dyDescent="0.3">
      <c r="A68" s="105">
        <v>56</v>
      </c>
      <c r="B68" s="108"/>
      <c r="C68" s="85"/>
      <c r="D68" s="106"/>
      <c r="E68" s="107"/>
      <c r="F68" s="113"/>
      <c r="G68" s="114"/>
      <c r="H68" s="107"/>
      <c r="I68" s="107"/>
      <c r="J68" s="107"/>
      <c r="K68" s="107"/>
      <c r="L68" s="13"/>
      <c r="M68" s="13"/>
      <c r="N68" s="13"/>
      <c r="O68" s="13"/>
      <c r="P68" s="13"/>
      <c r="Q68" s="13"/>
      <c r="R68" s="13"/>
      <c r="S68" s="13"/>
      <c r="T68" s="13"/>
      <c r="U68" s="13"/>
      <c r="V68" s="13"/>
      <c r="W68" s="13"/>
      <c r="X68" s="13"/>
      <c r="AE68" s="103">
        <f t="shared" si="15"/>
        <v>0</v>
      </c>
      <c r="AF68" s="103">
        <f t="shared" si="2"/>
        <v>0</v>
      </c>
      <c r="AG68" s="103">
        <f t="shared" si="3"/>
        <v>0</v>
      </c>
      <c r="AH68" s="103">
        <f t="shared" si="4"/>
        <v>0</v>
      </c>
      <c r="AI68" s="103">
        <f t="shared" si="5"/>
        <v>0</v>
      </c>
      <c r="AJ68" s="103">
        <f t="shared" si="6"/>
        <v>0</v>
      </c>
      <c r="AK68" s="103">
        <f t="shared" si="7"/>
        <v>0</v>
      </c>
      <c r="AL68" s="103">
        <f t="shared" si="8"/>
        <v>0</v>
      </c>
      <c r="AM68" s="103">
        <f t="shared" si="9"/>
        <v>0</v>
      </c>
      <c r="AN68" s="103">
        <f t="shared" si="10"/>
        <v>0</v>
      </c>
      <c r="AO68" s="103">
        <f t="shared" si="11"/>
        <v>0</v>
      </c>
      <c r="AP68" s="103">
        <f t="shared" si="12"/>
        <v>0</v>
      </c>
      <c r="AQ68" s="103">
        <f t="shared" si="13"/>
        <v>0</v>
      </c>
      <c r="AR68" s="103">
        <f t="shared" si="14"/>
        <v>0</v>
      </c>
      <c r="AS68" s="103"/>
      <c r="AT68" s="103">
        <f t="shared" si="16"/>
        <v>0</v>
      </c>
      <c r="AU68" s="103">
        <f t="shared" si="34"/>
        <v>0</v>
      </c>
      <c r="AV68" s="103">
        <f t="shared" si="17"/>
        <v>0</v>
      </c>
      <c r="AW68" s="103">
        <f t="shared" si="18"/>
        <v>0</v>
      </c>
      <c r="AX68" s="103"/>
      <c r="AY68" s="104">
        <f t="shared" si="19"/>
        <v>0</v>
      </c>
      <c r="AZ68" s="104">
        <f t="shared" si="20"/>
        <v>0</v>
      </c>
      <c r="BA68" s="104">
        <f t="shared" si="21"/>
        <v>0</v>
      </c>
      <c r="BB68" s="104">
        <f t="shared" si="22"/>
        <v>0</v>
      </c>
      <c r="BC68" s="104">
        <f t="shared" si="23"/>
        <v>0</v>
      </c>
      <c r="BD68" s="104">
        <f t="shared" si="24"/>
        <v>0</v>
      </c>
      <c r="BE68" s="104">
        <f t="shared" si="25"/>
        <v>0</v>
      </c>
      <c r="BF68" s="104">
        <f t="shared" si="26"/>
        <v>0</v>
      </c>
      <c r="BG68" s="104">
        <f t="shared" si="27"/>
        <v>0</v>
      </c>
      <c r="BH68" s="104">
        <f t="shared" si="28"/>
        <v>0</v>
      </c>
      <c r="BI68" s="104">
        <f t="shared" si="29"/>
        <v>0</v>
      </c>
      <c r="BJ68" s="104">
        <f t="shared" si="30"/>
        <v>0</v>
      </c>
      <c r="BL68" s="104">
        <f t="shared" si="31"/>
        <v>0</v>
      </c>
      <c r="BM68" s="104">
        <f t="shared" si="32"/>
        <v>0</v>
      </c>
      <c r="BN68" s="104">
        <f t="shared" si="33"/>
        <v>0</v>
      </c>
    </row>
    <row r="69" spans="1:66" s="19" customFormat="1" ht="15" customHeight="1" x14ac:dyDescent="0.3">
      <c r="A69" s="105">
        <v>57</v>
      </c>
      <c r="B69" s="108"/>
      <c r="C69" s="85"/>
      <c r="D69" s="106"/>
      <c r="E69" s="107"/>
      <c r="F69" s="113"/>
      <c r="G69" s="114"/>
      <c r="H69" s="107"/>
      <c r="I69" s="107"/>
      <c r="J69" s="107"/>
      <c r="K69" s="107"/>
      <c r="L69" s="13"/>
      <c r="M69" s="13"/>
      <c r="N69" s="13"/>
      <c r="O69" s="13"/>
      <c r="P69" s="13"/>
      <c r="Q69" s="13"/>
      <c r="R69" s="13"/>
      <c r="S69" s="13"/>
      <c r="T69" s="13"/>
      <c r="U69" s="13"/>
      <c r="V69" s="13"/>
      <c r="W69" s="13"/>
      <c r="X69" s="13"/>
      <c r="AE69" s="103">
        <f t="shared" si="15"/>
        <v>0</v>
      </c>
      <c r="AF69" s="103">
        <f t="shared" si="2"/>
        <v>0</v>
      </c>
      <c r="AG69" s="103">
        <f t="shared" si="3"/>
        <v>0</v>
      </c>
      <c r="AH69" s="103">
        <f t="shared" si="4"/>
        <v>0</v>
      </c>
      <c r="AI69" s="103">
        <f t="shared" si="5"/>
        <v>0</v>
      </c>
      <c r="AJ69" s="103">
        <f t="shared" si="6"/>
        <v>0</v>
      </c>
      <c r="AK69" s="103">
        <f t="shared" si="7"/>
        <v>0</v>
      </c>
      <c r="AL69" s="103">
        <f t="shared" si="8"/>
        <v>0</v>
      </c>
      <c r="AM69" s="103">
        <f t="shared" si="9"/>
        <v>0</v>
      </c>
      <c r="AN69" s="103">
        <f t="shared" si="10"/>
        <v>0</v>
      </c>
      <c r="AO69" s="103">
        <f t="shared" si="11"/>
        <v>0</v>
      </c>
      <c r="AP69" s="103">
        <f t="shared" si="12"/>
        <v>0</v>
      </c>
      <c r="AQ69" s="103">
        <f t="shared" si="13"/>
        <v>0</v>
      </c>
      <c r="AR69" s="103">
        <f t="shared" si="14"/>
        <v>0</v>
      </c>
      <c r="AS69" s="103"/>
      <c r="AT69" s="103">
        <f t="shared" si="16"/>
        <v>0</v>
      </c>
      <c r="AU69" s="103">
        <f t="shared" si="34"/>
        <v>0</v>
      </c>
      <c r="AV69" s="103">
        <f t="shared" si="17"/>
        <v>0</v>
      </c>
      <c r="AW69" s="103">
        <f t="shared" si="18"/>
        <v>0</v>
      </c>
      <c r="AX69" s="103"/>
      <c r="AY69" s="104">
        <f t="shared" si="19"/>
        <v>0</v>
      </c>
      <c r="AZ69" s="104">
        <f t="shared" si="20"/>
        <v>0</v>
      </c>
      <c r="BA69" s="104">
        <f t="shared" si="21"/>
        <v>0</v>
      </c>
      <c r="BB69" s="104">
        <f t="shared" si="22"/>
        <v>0</v>
      </c>
      <c r="BC69" s="104">
        <f t="shared" si="23"/>
        <v>0</v>
      </c>
      <c r="BD69" s="104">
        <f t="shared" si="24"/>
        <v>0</v>
      </c>
      <c r="BE69" s="104">
        <f t="shared" si="25"/>
        <v>0</v>
      </c>
      <c r="BF69" s="104">
        <f t="shared" si="26"/>
        <v>0</v>
      </c>
      <c r="BG69" s="104">
        <f t="shared" si="27"/>
        <v>0</v>
      </c>
      <c r="BH69" s="104">
        <f t="shared" si="28"/>
        <v>0</v>
      </c>
      <c r="BI69" s="104">
        <f t="shared" si="29"/>
        <v>0</v>
      </c>
      <c r="BJ69" s="104">
        <f t="shared" si="30"/>
        <v>0</v>
      </c>
      <c r="BL69" s="104">
        <f t="shared" si="31"/>
        <v>0</v>
      </c>
      <c r="BM69" s="104">
        <f t="shared" si="32"/>
        <v>0</v>
      </c>
      <c r="BN69" s="104">
        <f t="shared" si="33"/>
        <v>0</v>
      </c>
    </row>
    <row r="70" spans="1:66" s="19" customFormat="1" ht="15" customHeight="1" x14ac:dyDescent="0.3">
      <c r="A70" s="105">
        <v>58</v>
      </c>
      <c r="B70" s="108"/>
      <c r="C70" s="85"/>
      <c r="D70" s="106"/>
      <c r="E70" s="107"/>
      <c r="F70" s="113"/>
      <c r="G70" s="114"/>
      <c r="H70" s="107"/>
      <c r="I70" s="107"/>
      <c r="J70" s="107"/>
      <c r="K70" s="107"/>
      <c r="L70" s="13"/>
      <c r="M70" s="13"/>
      <c r="N70" s="13"/>
      <c r="O70" s="13"/>
      <c r="P70" s="13"/>
      <c r="Q70" s="13"/>
      <c r="R70" s="13"/>
      <c r="S70" s="13"/>
      <c r="T70" s="13"/>
      <c r="U70" s="13"/>
      <c r="V70" s="13"/>
      <c r="W70" s="13"/>
      <c r="X70" s="13"/>
      <c r="AE70" s="103">
        <f t="shared" si="15"/>
        <v>0</v>
      </c>
      <c r="AF70" s="103">
        <f t="shared" si="2"/>
        <v>0</v>
      </c>
      <c r="AG70" s="103">
        <f t="shared" si="3"/>
        <v>0</v>
      </c>
      <c r="AH70" s="103">
        <f t="shared" si="4"/>
        <v>0</v>
      </c>
      <c r="AI70" s="103">
        <f t="shared" si="5"/>
        <v>0</v>
      </c>
      <c r="AJ70" s="103">
        <f t="shared" si="6"/>
        <v>0</v>
      </c>
      <c r="AK70" s="103">
        <f t="shared" si="7"/>
        <v>0</v>
      </c>
      <c r="AL70" s="103">
        <f t="shared" si="8"/>
        <v>0</v>
      </c>
      <c r="AM70" s="103">
        <f t="shared" si="9"/>
        <v>0</v>
      </c>
      <c r="AN70" s="103">
        <f t="shared" si="10"/>
        <v>0</v>
      </c>
      <c r="AO70" s="103">
        <f t="shared" si="11"/>
        <v>0</v>
      </c>
      <c r="AP70" s="103">
        <f t="shared" si="12"/>
        <v>0</v>
      </c>
      <c r="AQ70" s="103">
        <f t="shared" si="13"/>
        <v>0</v>
      </c>
      <c r="AR70" s="103">
        <f t="shared" si="14"/>
        <v>0</v>
      </c>
      <c r="AS70" s="103"/>
      <c r="AT70" s="103">
        <f t="shared" si="16"/>
        <v>0</v>
      </c>
      <c r="AU70" s="103">
        <f t="shared" si="34"/>
        <v>0</v>
      </c>
      <c r="AV70" s="103">
        <f t="shared" si="17"/>
        <v>0</v>
      </c>
      <c r="AW70" s="103">
        <f t="shared" si="18"/>
        <v>0</v>
      </c>
      <c r="AX70" s="103"/>
      <c r="AY70" s="104">
        <f t="shared" si="19"/>
        <v>0</v>
      </c>
      <c r="AZ70" s="104">
        <f t="shared" si="20"/>
        <v>0</v>
      </c>
      <c r="BA70" s="104">
        <f t="shared" si="21"/>
        <v>0</v>
      </c>
      <c r="BB70" s="104">
        <f t="shared" si="22"/>
        <v>0</v>
      </c>
      <c r="BC70" s="104">
        <f t="shared" si="23"/>
        <v>0</v>
      </c>
      <c r="BD70" s="104">
        <f t="shared" si="24"/>
        <v>0</v>
      </c>
      <c r="BE70" s="104">
        <f t="shared" si="25"/>
        <v>0</v>
      </c>
      <c r="BF70" s="104">
        <f t="shared" si="26"/>
        <v>0</v>
      </c>
      <c r="BG70" s="104">
        <f t="shared" si="27"/>
        <v>0</v>
      </c>
      <c r="BH70" s="104">
        <f t="shared" si="28"/>
        <v>0</v>
      </c>
      <c r="BI70" s="104">
        <f t="shared" si="29"/>
        <v>0</v>
      </c>
      <c r="BJ70" s="104">
        <f t="shared" si="30"/>
        <v>0</v>
      </c>
      <c r="BL70" s="104">
        <f t="shared" si="31"/>
        <v>0</v>
      </c>
      <c r="BM70" s="104">
        <f t="shared" si="32"/>
        <v>0</v>
      </c>
      <c r="BN70" s="104">
        <f t="shared" si="33"/>
        <v>0</v>
      </c>
    </row>
    <row r="71" spans="1:66" s="19" customFormat="1" ht="15" customHeight="1" x14ac:dyDescent="0.3">
      <c r="A71" s="105">
        <v>59</v>
      </c>
      <c r="B71" s="108"/>
      <c r="C71" s="85"/>
      <c r="D71" s="106"/>
      <c r="E71" s="107"/>
      <c r="F71" s="113"/>
      <c r="G71" s="114"/>
      <c r="H71" s="107"/>
      <c r="I71" s="107"/>
      <c r="J71" s="107"/>
      <c r="K71" s="107"/>
      <c r="L71" s="13"/>
      <c r="M71" s="13"/>
      <c r="N71" s="13"/>
      <c r="O71" s="13"/>
      <c r="P71" s="13"/>
      <c r="Q71" s="13"/>
      <c r="R71" s="13"/>
      <c r="S71" s="13"/>
      <c r="T71" s="13"/>
      <c r="U71" s="13"/>
      <c r="V71" s="13"/>
      <c r="W71" s="13"/>
      <c r="X71" s="13"/>
      <c r="AE71" s="103">
        <f t="shared" si="15"/>
        <v>0</v>
      </c>
      <c r="AF71" s="103">
        <f t="shared" si="2"/>
        <v>0</v>
      </c>
      <c r="AG71" s="103">
        <f t="shared" si="3"/>
        <v>0</v>
      </c>
      <c r="AH71" s="103">
        <f t="shared" si="4"/>
        <v>0</v>
      </c>
      <c r="AI71" s="103">
        <f t="shared" si="5"/>
        <v>0</v>
      </c>
      <c r="AJ71" s="103">
        <f t="shared" si="6"/>
        <v>0</v>
      </c>
      <c r="AK71" s="103">
        <f t="shared" si="7"/>
        <v>0</v>
      </c>
      <c r="AL71" s="103">
        <f t="shared" si="8"/>
        <v>0</v>
      </c>
      <c r="AM71" s="103">
        <f t="shared" si="9"/>
        <v>0</v>
      </c>
      <c r="AN71" s="103">
        <f t="shared" si="10"/>
        <v>0</v>
      </c>
      <c r="AO71" s="103">
        <f t="shared" si="11"/>
        <v>0</v>
      </c>
      <c r="AP71" s="103">
        <f t="shared" si="12"/>
        <v>0</v>
      </c>
      <c r="AQ71" s="103">
        <f t="shared" si="13"/>
        <v>0</v>
      </c>
      <c r="AR71" s="103">
        <f t="shared" si="14"/>
        <v>0</v>
      </c>
      <c r="AS71" s="103"/>
      <c r="AT71" s="103">
        <f t="shared" si="16"/>
        <v>0</v>
      </c>
      <c r="AU71" s="103">
        <f t="shared" si="34"/>
        <v>0</v>
      </c>
      <c r="AV71" s="103">
        <f t="shared" si="17"/>
        <v>0</v>
      </c>
      <c r="AW71" s="103">
        <f t="shared" si="18"/>
        <v>0</v>
      </c>
      <c r="AX71" s="103"/>
      <c r="AY71" s="104">
        <f t="shared" si="19"/>
        <v>0</v>
      </c>
      <c r="AZ71" s="104">
        <f t="shared" si="20"/>
        <v>0</v>
      </c>
      <c r="BA71" s="104">
        <f t="shared" si="21"/>
        <v>0</v>
      </c>
      <c r="BB71" s="104">
        <f t="shared" si="22"/>
        <v>0</v>
      </c>
      <c r="BC71" s="104">
        <f t="shared" si="23"/>
        <v>0</v>
      </c>
      <c r="BD71" s="104">
        <f t="shared" si="24"/>
        <v>0</v>
      </c>
      <c r="BE71" s="104">
        <f t="shared" si="25"/>
        <v>0</v>
      </c>
      <c r="BF71" s="104">
        <f t="shared" si="26"/>
        <v>0</v>
      </c>
      <c r="BG71" s="104">
        <f t="shared" si="27"/>
        <v>0</v>
      </c>
      <c r="BH71" s="104">
        <f t="shared" si="28"/>
        <v>0</v>
      </c>
      <c r="BI71" s="104">
        <f t="shared" si="29"/>
        <v>0</v>
      </c>
      <c r="BJ71" s="104">
        <f t="shared" si="30"/>
        <v>0</v>
      </c>
      <c r="BL71" s="104">
        <f t="shared" si="31"/>
        <v>0</v>
      </c>
      <c r="BM71" s="104">
        <f t="shared" si="32"/>
        <v>0</v>
      </c>
      <c r="BN71" s="104">
        <f t="shared" si="33"/>
        <v>0</v>
      </c>
    </row>
    <row r="72" spans="1:66" s="19" customFormat="1" ht="15" customHeight="1" x14ac:dyDescent="0.3">
      <c r="A72" s="105">
        <v>60</v>
      </c>
      <c r="B72" s="108"/>
      <c r="C72" s="85"/>
      <c r="D72" s="106"/>
      <c r="E72" s="107"/>
      <c r="F72" s="113"/>
      <c r="G72" s="114"/>
      <c r="H72" s="107"/>
      <c r="I72" s="107"/>
      <c r="J72" s="107"/>
      <c r="K72" s="107"/>
      <c r="L72" s="13"/>
      <c r="M72" s="13"/>
      <c r="N72" s="13"/>
      <c r="O72" s="13"/>
      <c r="P72" s="13"/>
      <c r="Q72" s="13"/>
      <c r="R72" s="13"/>
      <c r="S72" s="13"/>
      <c r="T72" s="13"/>
      <c r="U72" s="13"/>
      <c r="V72" s="13"/>
      <c r="W72" s="13"/>
      <c r="X72" s="13"/>
      <c r="AE72" s="103">
        <f t="shared" si="15"/>
        <v>0</v>
      </c>
      <c r="AF72" s="103">
        <f t="shared" si="2"/>
        <v>0</v>
      </c>
      <c r="AG72" s="103">
        <f t="shared" si="3"/>
        <v>0</v>
      </c>
      <c r="AH72" s="103">
        <f t="shared" si="4"/>
        <v>0</v>
      </c>
      <c r="AI72" s="103">
        <f t="shared" si="5"/>
        <v>0</v>
      </c>
      <c r="AJ72" s="103">
        <f t="shared" si="6"/>
        <v>0</v>
      </c>
      <c r="AK72" s="103">
        <f t="shared" si="7"/>
        <v>0</v>
      </c>
      <c r="AL72" s="103">
        <f t="shared" si="8"/>
        <v>0</v>
      </c>
      <c r="AM72" s="103">
        <f t="shared" si="9"/>
        <v>0</v>
      </c>
      <c r="AN72" s="103">
        <f t="shared" si="10"/>
        <v>0</v>
      </c>
      <c r="AO72" s="103">
        <f t="shared" si="11"/>
        <v>0</v>
      </c>
      <c r="AP72" s="103">
        <f t="shared" si="12"/>
        <v>0</v>
      </c>
      <c r="AQ72" s="103">
        <f t="shared" si="13"/>
        <v>0</v>
      </c>
      <c r="AR72" s="103">
        <f t="shared" si="14"/>
        <v>0</v>
      </c>
      <c r="AS72" s="103"/>
      <c r="AT72" s="103">
        <f t="shared" si="16"/>
        <v>0</v>
      </c>
      <c r="AU72" s="103">
        <f t="shared" si="34"/>
        <v>0</v>
      </c>
      <c r="AV72" s="103">
        <f t="shared" si="17"/>
        <v>0</v>
      </c>
      <c r="AW72" s="103">
        <f t="shared" si="18"/>
        <v>0</v>
      </c>
      <c r="AX72" s="103"/>
      <c r="AY72" s="104">
        <f t="shared" si="19"/>
        <v>0</v>
      </c>
      <c r="AZ72" s="104">
        <f t="shared" si="20"/>
        <v>0</v>
      </c>
      <c r="BA72" s="104">
        <f t="shared" si="21"/>
        <v>0</v>
      </c>
      <c r="BB72" s="104">
        <f t="shared" si="22"/>
        <v>0</v>
      </c>
      <c r="BC72" s="104">
        <f t="shared" si="23"/>
        <v>0</v>
      </c>
      <c r="BD72" s="104">
        <f t="shared" si="24"/>
        <v>0</v>
      </c>
      <c r="BE72" s="104">
        <f t="shared" si="25"/>
        <v>0</v>
      </c>
      <c r="BF72" s="104">
        <f t="shared" si="26"/>
        <v>0</v>
      </c>
      <c r="BG72" s="104">
        <f t="shared" si="27"/>
        <v>0</v>
      </c>
      <c r="BH72" s="104">
        <f t="shared" si="28"/>
        <v>0</v>
      </c>
      <c r="BI72" s="104">
        <f t="shared" si="29"/>
        <v>0</v>
      </c>
      <c r="BJ72" s="104">
        <f t="shared" si="30"/>
        <v>0</v>
      </c>
      <c r="BL72" s="104">
        <f t="shared" si="31"/>
        <v>0</v>
      </c>
      <c r="BM72" s="104">
        <f t="shared" si="32"/>
        <v>0</v>
      </c>
      <c r="BN72" s="104">
        <f t="shared" si="33"/>
        <v>0</v>
      </c>
    </row>
    <row r="73" spans="1:66" s="19" customFormat="1" ht="15" customHeight="1" x14ac:dyDescent="0.3">
      <c r="A73" s="105">
        <v>61</v>
      </c>
      <c r="B73" s="108"/>
      <c r="C73" s="85"/>
      <c r="D73" s="106"/>
      <c r="E73" s="107"/>
      <c r="F73" s="113"/>
      <c r="G73" s="114"/>
      <c r="H73" s="107"/>
      <c r="I73" s="107"/>
      <c r="J73" s="107"/>
      <c r="K73" s="107"/>
      <c r="L73" s="13"/>
      <c r="M73" s="13"/>
      <c r="N73" s="13"/>
      <c r="O73" s="13"/>
      <c r="P73" s="13"/>
      <c r="Q73" s="13"/>
      <c r="R73" s="13"/>
      <c r="S73" s="13"/>
      <c r="T73" s="13"/>
      <c r="U73" s="13"/>
      <c r="V73" s="13"/>
      <c r="W73" s="13"/>
      <c r="X73" s="13"/>
      <c r="AE73" s="103">
        <f t="shared" si="15"/>
        <v>0</v>
      </c>
      <c r="AF73" s="103">
        <f t="shared" si="2"/>
        <v>0</v>
      </c>
      <c r="AG73" s="103">
        <f t="shared" si="3"/>
        <v>0</v>
      </c>
      <c r="AH73" s="103">
        <f t="shared" si="4"/>
        <v>0</v>
      </c>
      <c r="AI73" s="103">
        <f t="shared" si="5"/>
        <v>0</v>
      </c>
      <c r="AJ73" s="103">
        <f t="shared" si="6"/>
        <v>0</v>
      </c>
      <c r="AK73" s="103">
        <f t="shared" si="7"/>
        <v>0</v>
      </c>
      <c r="AL73" s="103">
        <f t="shared" si="8"/>
        <v>0</v>
      </c>
      <c r="AM73" s="103">
        <f t="shared" si="9"/>
        <v>0</v>
      </c>
      <c r="AN73" s="103">
        <f t="shared" si="10"/>
        <v>0</v>
      </c>
      <c r="AO73" s="103">
        <f t="shared" si="11"/>
        <v>0</v>
      </c>
      <c r="AP73" s="103">
        <f t="shared" si="12"/>
        <v>0</v>
      </c>
      <c r="AQ73" s="103">
        <f t="shared" si="13"/>
        <v>0</v>
      </c>
      <c r="AR73" s="103">
        <f t="shared" si="14"/>
        <v>0</v>
      </c>
      <c r="AS73" s="103"/>
      <c r="AT73" s="103">
        <f t="shared" si="16"/>
        <v>0</v>
      </c>
      <c r="AU73" s="103">
        <f t="shared" si="34"/>
        <v>0</v>
      </c>
      <c r="AV73" s="103">
        <f t="shared" si="17"/>
        <v>0</v>
      </c>
      <c r="AW73" s="103">
        <f t="shared" si="18"/>
        <v>0</v>
      </c>
      <c r="AX73" s="103"/>
      <c r="AY73" s="104">
        <f t="shared" si="19"/>
        <v>0</v>
      </c>
      <c r="AZ73" s="104">
        <f t="shared" si="20"/>
        <v>0</v>
      </c>
      <c r="BA73" s="104">
        <f t="shared" si="21"/>
        <v>0</v>
      </c>
      <c r="BB73" s="104">
        <f t="shared" si="22"/>
        <v>0</v>
      </c>
      <c r="BC73" s="104">
        <f t="shared" si="23"/>
        <v>0</v>
      </c>
      <c r="BD73" s="104">
        <f t="shared" si="24"/>
        <v>0</v>
      </c>
      <c r="BE73" s="104">
        <f t="shared" si="25"/>
        <v>0</v>
      </c>
      <c r="BF73" s="104">
        <f t="shared" si="26"/>
        <v>0</v>
      </c>
      <c r="BG73" s="104">
        <f t="shared" si="27"/>
        <v>0</v>
      </c>
      <c r="BH73" s="104">
        <f t="shared" si="28"/>
        <v>0</v>
      </c>
      <c r="BI73" s="104">
        <f t="shared" si="29"/>
        <v>0</v>
      </c>
      <c r="BJ73" s="104">
        <f t="shared" si="30"/>
        <v>0</v>
      </c>
      <c r="BL73" s="104">
        <f t="shared" si="31"/>
        <v>0</v>
      </c>
      <c r="BM73" s="104">
        <f t="shared" si="32"/>
        <v>0</v>
      </c>
      <c r="BN73" s="104">
        <f t="shared" si="33"/>
        <v>0</v>
      </c>
    </row>
    <row r="74" spans="1:66" s="19" customFormat="1" ht="15" customHeight="1" x14ac:dyDescent="0.3">
      <c r="A74" s="105">
        <v>62</v>
      </c>
      <c r="B74" s="108"/>
      <c r="C74" s="85"/>
      <c r="D74" s="106"/>
      <c r="E74" s="107"/>
      <c r="F74" s="113"/>
      <c r="G74" s="114"/>
      <c r="H74" s="107"/>
      <c r="I74" s="107"/>
      <c r="J74" s="107"/>
      <c r="K74" s="107"/>
      <c r="L74" s="13"/>
      <c r="M74" s="13"/>
      <c r="N74" s="13"/>
      <c r="O74" s="13"/>
      <c r="P74" s="13"/>
      <c r="Q74" s="13"/>
      <c r="R74" s="13"/>
      <c r="S74" s="13"/>
      <c r="T74" s="13"/>
      <c r="U74" s="13"/>
      <c r="V74" s="13"/>
      <c r="W74" s="13"/>
      <c r="X74" s="13"/>
      <c r="AE74" s="103">
        <f t="shared" si="15"/>
        <v>0</v>
      </c>
      <c r="AF74" s="103">
        <f t="shared" si="2"/>
        <v>0</v>
      </c>
      <c r="AG74" s="103">
        <f t="shared" si="3"/>
        <v>0</v>
      </c>
      <c r="AH74" s="103">
        <f t="shared" si="4"/>
        <v>0</v>
      </c>
      <c r="AI74" s="103">
        <f t="shared" si="5"/>
        <v>0</v>
      </c>
      <c r="AJ74" s="103">
        <f t="shared" si="6"/>
        <v>0</v>
      </c>
      <c r="AK74" s="103">
        <f t="shared" si="7"/>
        <v>0</v>
      </c>
      <c r="AL74" s="103">
        <f t="shared" si="8"/>
        <v>0</v>
      </c>
      <c r="AM74" s="103">
        <f t="shared" si="9"/>
        <v>0</v>
      </c>
      <c r="AN74" s="103">
        <f t="shared" si="10"/>
        <v>0</v>
      </c>
      <c r="AO74" s="103">
        <f t="shared" si="11"/>
        <v>0</v>
      </c>
      <c r="AP74" s="103">
        <f t="shared" si="12"/>
        <v>0</v>
      </c>
      <c r="AQ74" s="103">
        <f t="shared" si="13"/>
        <v>0</v>
      </c>
      <c r="AR74" s="103">
        <f t="shared" si="14"/>
        <v>0</v>
      </c>
      <c r="AS74" s="103"/>
      <c r="AT74" s="103">
        <f t="shared" si="16"/>
        <v>0</v>
      </c>
      <c r="AU74" s="103">
        <f t="shared" si="34"/>
        <v>0</v>
      </c>
      <c r="AV74" s="103">
        <f t="shared" si="17"/>
        <v>0</v>
      </c>
      <c r="AW74" s="103">
        <f t="shared" si="18"/>
        <v>0</v>
      </c>
      <c r="AX74" s="103"/>
      <c r="AY74" s="104">
        <f t="shared" si="19"/>
        <v>0</v>
      </c>
      <c r="AZ74" s="104">
        <f t="shared" si="20"/>
        <v>0</v>
      </c>
      <c r="BA74" s="104">
        <f t="shared" si="21"/>
        <v>0</v>
      </c>
      <c r="BB74" s="104">
        <f t="shared" si="22"/>
        <v>0</v>
      </c>
      <c r="BC74" s="104">
        <f t="shared" si="23"/>
        <v>0</v>
      </c>
      <c r="BD74" s="104">
        <f t="shared" si="24"/>
        <v>0</v>
      </c>
      <c r="BE74" s="104">
        <f t="shared" si="25"/>
        <v>0</v>
      </c>
      <c r="BF74" s="104">
        <f t="shared" si="26"/>
        <v>0</v>
      </c>
      <c r="BG74" s="104">
        <f t="shared" si="27"/>
        <v>0</v>
      </c>
      <c r="BH74" s="104">
        <f t="shared" si="28"/>
        <v>0</v>
      </c>
      <c r="BI74" s="104">
        <f t="shared" si="29"/>
        <v>0</v>
      </c>
      <c r="BJ74" s="104">
        <f t="shared" si="30"/>
        <v>0</v>
      </c>
      <c r="BL74" s="104">
        <f t="shared" si="31"/>
        <v>0</v>
      </c>
      <c r="BM74" s="104">
        <f t="shared" si="32"/>
        <v>0</v>
      </c>
      <c r="BN74" s="104">
        <f t="shared" si="33"/>
        <v>0</v>
      </c>
    </row>
    <row r="75" spans="1:66" s="19" customFormat="1" ht="15" customHeight="1" x14ac:dyDescent="0.3">
      <c r="A75" s="105">
        <v>63</v>
      </c>
      <c r="B75" s="108"/>
      <c r="C75" s="85"/>
      <c r="D75" s="106"/>
      <c r="E75" s="107"/>
      <c r="F75" s="113"/>
      <c r="G75" s="114"/>
      <c r="H75" s="107"/>
      <c r="I75" s="107"/>
      <c r="J75" s="107"/>
      <c r="K75" s="107"/>
      <c r="M75" s="13"/>
      <c r="N75" s="13"/>
      <c r="O75" s="13"/>
      <c r="P75" s="13"/>
      <c r="Q75" s="13"/>
      <c r="R75" s="13"/>
      <c r="S75" s="13"/>
      <c r="T75" s="13"/>
      <c r="U75" s="13"/>
      <c r="V75" s="13"/>
      <c r="W75" s="13"/>
      <c r="X75" s="13"/>
      <c r="AE75" s="103">
        <f t="shared" si="15"/>
        <v>0</v>
      </c>
      <c r="AF75" s="103">
        <f t="shared" si="2"/>
        <v>0</v>
      </c>
      <c r="AG75" s="103">
        <f t="shared" si="3"/>
        <v>0</v>
      </c>
      <c r="AH75" s="103">
        <f t="shared" si="4"/>
        <v>0</v>
      </c>
      <c r="AI75" s="103">
        <f t="shared" si="5"/>
        <v>0</v>
      </c>
      <c r="AJ75" s="103">
        <f t="shared" si="6"/>
        <v>0</v>
      </c>
      <c r="AK75" s="103">
        <f t="shared" si="7"/>
        <v>0</v>
      </c>
      <c r="AL75" s="103">
        <f t="shared" si="8"/>
        <v>0</v>
      </c>
      <c r="AM75" s="103">
        <f t="shared" si="9"/>
        <v>0</v>
      </c>
      <c r="AN75" s="103">
        <f t="shared" si="10"/>
        <v>0</v>
      </c>
      <c r="AO75" s="103">
        <f t="shared" si="11"/>
        <v>0</v>
      </c>
      <c r="AP75" s="103">
        <f t="shared" si="12"/>
        <v>0</v>
      </c>
      <c r="AQ75" s="103">
        <f t="shared" si="13"/>
        <v>0</v>
      </c>
      <c r="AR75" s="103">
        <f t="shared" si="14"/>
        <v>0</v>
      </c>
      <c r="AS75" s="103"/>
      <c r="AT75" s="103">
        <f t="shared" si="16"/>
        <v>0</v>
      </c>
      <c r="AU75" s="103">
        <f t="shared" si="34"/>
        <v>0</v>
      </c>
      <c r="AV75" s="103">
        <f t="shared" si="17"/>
        <v>0</v>
      </c>
      <c r="AW75" s="103">
        <f t="shared" si="18"/>
        <v>0</v>
      </c>
      <c r="AX75" s="103"/>
      <c r="AY75" s="104">
        <f t="shared" si="19"/>
        <v>0</v>
      </c>
      <c r="AZ75" s="104">
        <f t="shared" si="20"/>
        <v>0</v>
      </c>
      <c r="BA75" s="104">
        <f t="shared" si="21"/>
        <v>0</v>
      </c>
      <c r="BB75" s="104">
        <f t="shared" si="22"/>
        <v>0</v>
      </c>
      <c r="BC75" s="104">
        <f t="shared" si="23"/>
        <v>0</v>
      </c>
      <c r="BD75" s="104">
        <f t="shared" si="24"/>
        <v>0</v>
      </c>
      <c r="BE75" s="104">
        <f t="shared" si="25"/>
        <v>0</v>
      </c>
      <c r="BF75" s="104">
        <f t="shared" si="26"/>
        <v>0</v>
      </c>
      <c r="BG75" s="104">
        <f t="shared" si="27"/>
        <v>0</v>
      </c>
      <c r="BH75" s="104">
        <f t="shared" si="28"/>
        <v>0</v>
      </c>
      <c r="BI75" s="104">
        <f t="shared" si="29"/>
        <v>0</v>
      </c>
      <c r="BJ75" s="104">
        <f t="shared" si="30"/>
        <v>0</v>
      </c>
      <c r="BL75" s="104">
        <f t="shared" si="31"/>
        <v>0</v>
      </c>
      <c r="BM75" s="104">
        <f t="shared" si="32"/>
        <v>0</v>
      </c>
      <c r="BN75" s="104">
        <f t="shared" si="33"/>
        <v>0</v>
      </c>
    </row>
    <row r="76" spans="1:66" s="19" customFormat="1" ht="15" customHeight="1" x14ac:dyDescent="0.3">
      <c r="A76" s="105">
        <v>64</v>
      </c>
      <c r="B76" s="108"/>
      <c r="C76" s="85"/>
      <c r="D76" s="106"/>
      <c r="E76" s="107"/>
      <c r="F76" s="113"/>
      <c r="G76" s="114"/>
      <c r="H76" s="107"/>
      <c r="I76" s="107"/>
      <c r="J76" s="107"/>
      <c r="K76" s="107"/>
      <c r="L76" s="13"/>
      <c r="M76" s="13"/>
      <c r="N76" s="13"/>
      <c r="O76" s="13"/>
      <c r="P76" s="13"/>
      <c r="Q76" s="13"/>
      <c r="R76" s="13"/>
      <c r="S76" s="13"/>
      <c r="T76" s="13"/>
      <c r="U76" s="13"/>
      <c r="V76" s="13"/>
      <c r="W76" s="13"/>
      <c r="X76" s="13"/>
      <c r="AE76" s="103">
        <f t="shared" si="15"/>
        <v>0</v>
      </c>
      <c r="AF76" s="103">
        <f t="shared" si="2"/>
        <v>0</v>
      </c>
      <c r="AG76" s="103">
        <f t="shared" si="3"/>
        <v>0</v>
      </c>
      <c r="AH76" s="103">
        <f t="shared" si="4"/>
        <v>0</v>
      </c>
      <c r="AI76" s="103">
        <f t="shared" si="5"/>
        <v>0</v>
      </c>
      <c r="AJ76" s="103">
        <f t="shared" si="6"/>
        <v>0</v>
      </c>
      <c r="AK76" s="103">
        <f t="shared" si="7"/>
        <v>0</v>
      </c>
      <c r="AL76" s="103">
        <f t="shared" si="8"/>
        <v>0</v>
      </c>
      <c r="AM76" s="103">
        <f t="shared" si="9"/>
        <v>0</v>
      </c>
      <c r="AN76" s="103">
        <f t="shared" si="10"/>
        <v>0</v>
      </c>
      <c r="AO76" s="103">
        <f t="shared" si="11"/>
        <v>0</v>
      </c>
      <c r="AP76" s="103">
        <f t="shared" si="12"/>
        <v>0</v>
      </c>
      <c r="AQ76" s="103">
        <f t="shared" si="13"/>
        <v>0</v>
      </c>
      <c r="AR76" s="103">
        <f t="shared" si="14"/>
        <v>0</v>
      </c>
      <c r="AS76" s="103"/>
      <c r="AT76" s="103">
        <f t="shared" ref="AT76:AT139" si="35">IF(OR($G76=$AA$11,$G76=$AA$13,($G76=$AA$14),$G76=$AA$15),$AE76+$AG76+$AI76+$AK76+$AQ76,0)</f>
        <v>0</v>
      </c>
      <c r="AU76" s="103">
        <f t="shared" si="34"/>
        <v>0</v>
      </c>
      <c r="AV76" s="103">
        <f t="shared" si="17"/>
        <v>0</v>
      </c>
      <c r="AW76" s="103">
        <f t="shared" si="18"/>
        <v>0</v>
      </c>
      <c r="AX76" s="103"/>
      <c r="AY76" s="104">
        <f t="shared" si="19"/>
        <v>0</v>
      </c>
      <c r="AZ76" s="104">
        <f t="shared" si="20"/>
        <v>0</v>
      </c>
      <c r="BA76" s="104">
        <f t="shared" si="21"/>
        <v>0</v>
      </c>
      <c r="BB76" s="104">
        <f t="shared" si="22"/>
        <v>0</v>
      </c>
      <c r="BC76" s="104">
        <f t="shared" si="23"/>
        <v>0</v>
      </c>
      <c r="BD76" s="104">
        <f t="shared" si="24"/>
        <v>0</v>
      </c>
      <c r="BE76" s="104">
        <f t="shared" si="25"/>
        <v>0</v>
      </c>
      <c r="BF76" s="104">
        <f t="shared" si="26"/>
        <v>0</v>
      </c>
      <c r="BG76" s="104">
        <f t="shared" si="27"/>
        <v>0</v>
      </c>
      <c r="BH76" s="104">
        <f t="shared" si="28"/>
        <v>0</v>
      </c>
      <c r="BI76" s="104">
        <f t="shared" si="29"/>
        <v>0</v>
      </c>
      <c r="BJ76" s="104">
        <f t="shared" si="30"/>
        <v>0</v>
      </c>
      <c r="BL76" s="104">
        <f t="shared" si="31"/>
        <v>0</v>
      </c>
      <c r="BM76" s="104">
        <f t="shared" si="32"/>
        <v>0</v>
      </c>
      <c r="BN76" s="104">
        <f t="shared" si="33"/>
        <v>0</v>
      </c>
    </row>
    <row r="77" spans="1:66" s="19" customFormat="1" ht="15" customHeight="1" x14ac:dyDescent="0.3">
      <c r="A77" s="105">
        <v>65</v>
      </c>
      <c r="B77" s="108"/>
      <c r="C77" s="85"/>
      <c r="D77" s="106"/>
      <c r="E77" s="107"/>
      <c r="F77" s="113"/>
      <c r="G77" s="114"/>
      <c r="H77" s="107"/>
      <c r="I77" s="107"/>
      <c r="J77" s="107"/>
      <c r="K77" s="107"/>
      <c r="L77" s="13"/>
      <c r="M77" s="13"/>
      <c r="N77" s="13"/>
      <c r="O77" s="13"/>
      <c r="P77" s="13"/>
      <c r="Q77" s="13"/>
      <c r="R77" s="13"/>
      <c r="S77" s="13"/>
      <c r="T77" s="13"/>
      <c r="U77" s="13"/>
      <c r="V77" s="13"/>
      <c r="W77" s="13"/>
      <c r="X77" s="13"/>
      <c r="AE77" s="103">
        <f t="shared" si="15"/>
        <v>0</v>
      </c>
      <c r="AF77" s="103">
        <f t="shared" ref="AF77:AF140" si="36">IF($C77=$Z$11,$F77,0)</f>
        <v>0</v>
      </c>
      <c r="AG77" s="103">
        <f t="shared" ref="AG77:AG140" si="37">IF($C77=$Z$12,$E77,0)</f>
        <v>0</v>
      </c>
      <c r="AH77" s="103">
        <f t="shared" ref="AH77:AH140" si="38">IF($C77=$Z$12,$F77,0)</f>
        <v>0</v>
      </c>
      <c r="AI77" s="103">
        <f t="shared" ref="AI77:AI140" si="39">IF($C77=$Z$13,$E77,0)</f>
        <v>0</v>
      </c>
      <c r="AJ77" s="103">
        <f t="shared" ref="AJ77:AJ140" si="40">IF($C77=$Z$13,$F77,0)</f>
        <v>0</v>
      </c>
      <c r="AK77" s="103">
        <f t="shared" ref="AK77:AK140" si="41">IF($C77=$Z$14,$E77,0)</f>
        <v>0</v>
      </c>
      <c r="AL77" s="103">
        <f t="shared" ref="AL77:AL140" si="42">IF($C77=$Z$14,$F77,0)</f>
        <v>0</v>
      </c>
      <c r="AM77" s="103">
        <f t="shared" ref="AM77:AM140" si="43">IF($C77=$Z$15,$E77,0)</f>
        <v>0</v>
      </c>
      <c r="AN77" s="103">
        <f t="shared" ref="AN77:AN140" si="44">IF($C77=$Z$15,$F77,0)</f>
        <v>0</v>
      </c>
      <c r="AO77" s="103">
        <f t="shared" ref="AO77:AO140" si="45">IF($C77=$Z$16,$E77,0)</f>
        <v>0</v>
      </c>
      <c r="AP77" s="103">
        <f t="shared" ref="AP77:AP140" si="46">IF($C77=$Z$16,$F77,0)</f>
        <v>0</v>
      </c>
      <c r="AQ77" s="103">
        <f t="shared" ref="AQ77:AQ140" si="47">IF($C77=$Z$17,$E77,0)</f>
        <v>0</v>
      </c>
      <c r="AR77" s="103">
        <f t="shared" ref="AR77:AR140" si="48">IF($C77=$Z$17,$F77,0)</f>
        <v>0</v>
      </c>
      <c r="AS77" s="103"/>
      <c r="AT77" s="103">
        <f t="shared" si="35"/>
        <v>0</v>
      </c>
      <c r="AU77" s="103">
        <f t="shared" ref="AU77:AU140" si="49">IF(OR($G77=$AA$11,$G77=$AA$13,($G77=$AA$14),$G77=$AA$15),$AF77+$AH77+$AJ77+AL77+AR77,0)</f>
        <v>0</v>
      </c>
      <c r="AV77" s="103">
        <f t="shared" si="17"/>
        <v>0</v>
      </c>
      <c r="AW77" s="103">
        <f t="shared" si="18"/>
        <v>0</v>
      </c>
      <c r="AX77" s="103"/>
      <c r="AY77" s="104">
        <f t="shared" si="19"/>
        <v>0</v>
      </c>
      <c r="AZ77" s="104">
        <f t="shared" si="20"/>
        <v>0</v>
      </c>
      <c r="BA77" s="104">
        <f t="shared" si="21"/>
        <v>0</v>
      </c>
      <c r="BB77" s="104">
        <f t="shared" si="22"/>
        <v>0</v>
      </c>
      <c r="BC77" s="104">
        <f t="shared" si="23"/>
        <v>0</v>
      </c>
      <c r="BD77" s="104">
        <f t="shared" si="24"/>
        <v>0</v>
      </c>
      <c r="BE77" s="104">
        <f t="shared" si="25"/>
        <v>0</v>
      </c>
      <c r="BF77" s="104">
        <f t="shared" si="26"/>
        <v>0</v>
      </c>
      <c r="BG77" s="104">
        <f t="shared" si="27"/>
        <v>0</v>
      </c>
      <c r="BH77" s="104">
        <f t="shared" si="28"/>
        <v>0</v>
      </c>
      <c r="BI77" s="104">
        <f t="shared" si="29"/>
        <v>0</v>
      </c>
      <c r="BJ77" s="104">
        <f t="shared" si="30"/>
        <v>0</v>
      </c>
      <c r="BL77" s="104">
        <f t="shared" si="31"/>
        <v>0</v>
      </c>
      <c r="BM77" s="104">
        <f t="shared" si="32"/>
        <v>0</v>
      </c>
      <c r="BN77" s="104">
        <f t="shared" si="33"/>
        <v>0</v>
      </c>
    </row>
    <row r="78" spans="1:66" s="19" customFormat="1" ht="15" customHeight="1" x14ac:dyDescent="0.3">
      <c r="A78" s="105">
        <v>66</v>
      </c>
      <c r="B78" s="108"/>
      <c r="C78" s="85"/>
      <c r="D78" s="106"/>
      <c r="E78" s="107"/>
      <c r="F78" s="113"/>
      <c r="G78" s="114"/>
      <c r="H78" s="107"/>
      <c r="I78" s="107"/>
      <c r="J78" s="107"/>
      <c r="K78" s="107"/>
      <c r="L78" s="13"/>
      <c r="M78" s="13"/>
      <c r="N78" s="13"/>
      <c r="O78" s="13"/>
      <c r="P78" s="13"/>
      <c r="Q78" s="13"/>
      <c r="R78" s="13"/>
      <c r="S78" s="13"/>
      <c r="T78" s="13"/>
      <c r="U78" s="13"/>
      <c r="V78" s="13"/>
      <c r="W78" s="13"/>
      <c r="X78" s="13"/>
      <c r="AE78" s="103">
        <f t="shared" ref="AE78:AE140" si="50">IF($C78=$Z$11,$E78,0)</f>
        <v>0</v>
      </c>
      <c r="AF78" s="103">
        <f t="shared" si="36"/>
        <v>0</v>
      </c>
      <c r="AG78" s="103">
        <f t="shared" si="37"/>
        <v>0</v>
      </c>
      <c r="AH78" s="103">
        <f t="shared" si="38"/>
        <v>0</v>
      </c>
      <c r="AI78" s="103">
        <f t="shared" si="39"/>
        <v>0</v>
      </c>
      <c r="AJ78" s="103">
        <f t="shared" si="40"/>
        <v>0</v>
      </c>
      <c r="AK78" s="103">
        <f t="shared" si="41"/>
        <v>0</v>
      </c>
      <c r="AL78" s="103">
        <f t="shared" si="42"/>
        <v>0</v>
      </c>
      <c r="AM78" s="103">
        <f t="shared" si="43"/>
        <v>0</v>
      </c>
      <c r="AN78" s="103">
        <f t="shared" si="44"/>
        <v>0</v>
      </c>
      <c r="AO78" s="103">
        <f t="shared" si="45"/>
        <v>0</v>
      </c>
      <c r="AP78" s="103">
        <f t="shared" si="46"/>
        <v>0</v>
      </c>
      <c r="AQ78" s="103">
        <f t="shared" si="47"/>
        <v>0</v>
      </c>
      <c r="AR78" s="103">
        <f t="shared" si="48"/>
        <v>0</v>
      </c>
      <c r="AS78" s="103"/>
      <c r="AT78" s="103">
        <f t="shared" si="35"/>
        <v>0</v>
      </c>
      <c r="AU78" s="103">
        <f t="shared" si="49"/>
        <v>0</v>
      </c>
      <c r="AV78" s="103">
        <f t="shared" ref="AV78:AV140" si="51">IF($G78=$AA$12,$AE78+$AG78+$AI78+AK78+AQ78,0)</f>
        <v>0</v>
      </c>
      <c r="AW78" s="103">
        <f t="shared" ref="AW78:AW140" si="52">IF($G78=$AA$12,$AF78+$AH78+$AJ78+AL78+AR78,0)</f>
        <v>0</v>
      </c>
      <c r="AX78" s="103"/>
      <c r="AY78" s="104">
        <f t="shared" ref="AY78:AY140" si="53">IF(UPPER($I78) =$AB$12,IF($G78=$AA$12,$AV78,0),0)</f>
        <v>0</v>
      </c>
      <c r="AZ78" s="104">
        <f t="shared" ref="AZ78:AZ140" si="54">IF(UPPER($I78) =$AB$12,IF($G78&lt;&gt;$AA$12,$AT78,0),0)</f>
        <v>0</v>
      </c>
      <c r="BA78" s="104">
        <f t="shared" ref="BA78:BA140" si="55">IF(UPPER($I78) =$AB$12,IF($G78=$AA$12,$AW78,0),0)</f>
        <v>0</v>
      </c>
      <c r="BB78" s="104">
        <f t="shared" ref="BB78:BB140" si="56">IF(UPPER($I78) =$AB$12,IF($G78&lt;&gt;$AA$12,$AU78,0),0)</f>
        <v>0</v>
      </c>
      <c r="BC78" s="104">
        <f t="shared" ref="BC78:BC140" si="57">IF(UPPER($J78) =$AB$12,IF($G78=$AA$12,$AV78,0),0)</f>
        <v>0</v>
      </c>
      <c r="BD78" s="104">
        <f t="shared" ref="BD78:BD140" si="58">IF(UPPER($J78) =$AB$12,IF($G78&lt;&gt;$AA$12,$AT78,0),0)</f>
        <v>0</v>
      </c>
      <c r="BE78" s="104">
        <f t="shared" ref="BE78:BE140" si="59">IF(UPPER($J78) =$AB$12,IF($G78=$AA$12,$AW78,0),0)</f>
        <v>0</v>
      </c>
      <c r="BF78" s="104">
        <f t="shared" ref="BF78:BF140" si="60">IF(UPPER($J78) =$AB$12,IF($G78&lt;&gt;$AA$12,$AU78,0),0)</f>
        <v>0</v>
      </c>
      <c r="BG78" s="104">
        <f t="shared" ref="BG78:BG140" si="61">IF(UPPER($K78) =$AB$12,IF($G78=$AA$12,$AV78,0),0)</f>
        <v>0</v>
      </c>
      <c r="BH78" s="104">
        <f t="shared" ref="BH78:BH140" si="62">IF(UPPER($K78) =$AB$12,IF($G78&lt;&gt;$AA$12,$AT78,0),0)</f>
        <v>0</v>
      </c>
      <c r="BI78" s="104">
        <f t="shared" ref="BI78:BI140" si="63">IF(UPPER($K78) =$AB$12,IF($G78=$AA$12,$AW78,0),0)</f>
        <v>0</v>
      </c>
      <c r="BJ78" s="104">
        <f t="shared" ref="BJ78:BJ140" si="64">IF(UPPER($K78) =$AB$12,IF($G78&lt;&gt;$AA$12,$AU78,0),0)</f>
        <v>0</v>
      </c>
      <c r="BL78" s="104">
        <f t="shared" ref="BL78:BL139" si="65">IF(($E78+$F78&gt;0), IF($G78=$AA$10,1,0),0)</f>
        <v>0</v>
      </c>
      <c r="BM78" s="104">
        <f t="shared" ref="BM78:BM139" si="66">IF(($E78+$F78&lt;=0), IF($G78&lt;&gt;$AA$10,1,0),0)</f>
        <v>0</v>
      </c>
      <c r="BN78" s="104">
        <f t="shared" ref="BN78:BN139" si="67">IF(($E78+$F78&gt;0), IF($C78=$AA$10,1,0),0)</f>
        <v>0</v>
      </c>
    </row>
    <row r="79" spans="1:66" s="19" customFormat="1" ht="15" customHeight="1" x14ac:dyDescent="0.3">
      <c r="A79" s="105">
        <v>67</v>
      </c>
      <c r="B79" s="108"/>
      <c r="C79" s="85"/>
      <c r="D79" s="106"/>
      <c r="E79" s="107"/>
      <c r="F79" s="113"/>
      <c r="G79" s="114"/>
      <c r="H79" s="107"/>
      <c r="I79" s="107"/>
      <c r="J79" s="107"/>
      <c r="K79" s="107"/>
      <c r="L79" s="13"/>
      <c r="M79" s="13"/>
      <c r="N79" s="13"/>
      <c r="O79" s="13"/>
      <c r="P79" s="13"/>
      <c r="Q79" s="13"/>
      <c r="R79" s="13"/>
      <c r="S79" s="13"/>
      <c r="T79" s="13"/>
      <c r="U79" s="13"/>
      <c r="V79" s="13"/>
      <c r="W79" s="13"/>
      <c r="X79" s="13"/>
      <c r="AE79" s="103">
        <f t="shared" si="50"/>
        <v>0</v>
      </c>
      <c r="AF79" s="103">
        <f t="shared" si="36"/>
        <v>0</v>
      </c>
      <c r="AG79" s="103">
        <f t="shared" si="37"/>
        <v>0</v>
      </c>
      <c r="AH79" s="103">
        <f t="shared" si="38"/>
        <v>0</v>
      </c>
      <c r="AI79" s="103">
        <f t="shared" si="39"/>
        <v>0</v>
      </c>
      <c r="AJ79" s="103">
        <f t="shared" si="40"/>
        <v>0</v>
      </c>
      <c r="AK79" s="103">
        <f t="shared" si="41"/>
        <v>0</v>
      </c>
      <c r="AL79" s="103">
        <f t="shared" si="42"/>
        <v>0</v>
      </c>
      <c r="AM79" s="103">
        <f t="shared" si="43"/>
        <v>0</v>
      </c>
      <c r="AN79" s="103">
        <f t="shared" si="44"/>
        <v>0</v>
      </c>
      <c r="AO79" s="103">
        <f t="shared" si="45"/>
        <v>0</v>
      </c>
      <c r="AP79" s="103">
        <f t="shared" si="46"/>
        <v>0</v>
      </c>
      <c r="AQ79" s="103">
        <f t="shared" si="47"/>
        <v>0</v>
      </c>
      <c r="AR79" s="103">
        <f t="shared" si="48"/>
        <v>0</v>
      </c>
      <c r="AS79" s="103"/>
      <c r="AT79" s="103">
        <f t="shared" si="35"/>
        <v>0</v>
      </c>
      <c r="AU79" s="103">
        <f t="shared" si="49"/>
        <v>0</v>
      </c>
      <c r="AV79" s="103">
        <f t="shared" si="51"/>
        <v>0</v>
      </c>
      <c r="AW79" s="103">
        <f t="shared" si="52"/>
        <v>0</v>
      </c>
      <c r="AX79" s="103"/>
      <c r="AY79" s="104">
        <f t="shared" si="53"/>
        <v>0</v>
      </c>
      <c r="AZ79" s="104">
        <f t="shared" si="54"/>
        <v>0</v>
      </c>
      <c r="BA79" s="104">
        <f t="shared" si="55"/>
        <v>0</v>
      </c>
      <c r="BB79" s="104">
        <f t="shared" si="56"/>
        <v>0</v>
      </c>
      <c r="BC79" s="104">
        <f t="shared" si="57"/>
        <v>0</v>
      </c>
      <c r="BD79" s="104">
        <f t="shared" si="58"/>
        <v>0</v>
      </c>
      <c r="BE79" s="104">
        <f t="shared" si="59"/>
        <v>0</v>
      </c>
      <c r="BF79" s="104">
        <f t="shared" si="60"/>
        <v>0</v>
      </c>
      <c r="BG79" s="104">
        <f t="shared" si="61"/>
        <v>0</v>
      </c>
      <c r="BH79" s="104">
        <f t="shared" si="62"/>
        <v>0</v>
      </c>
      <c r="BI79" s="104">
        <f t="shared" si="63"/>
        <v>0</v>
      </c>
      <c r="BJ79" s="104">
        <f t="shared" si="64"/>
        <v>0</v>
      </c>
      <c r="BL79" s="104">
        <f t="shared" si="65"/>
        <v>0</v>
      </c>
      <c r="BM79" s="104">
        <f t="shared" si="66"/>
        <v>0</v>
      </c>
      <c r="BN79" s="104">
        <f t="shared" si="67"/>
        <v>0</v>
      </c>
    </row>
    <row r="80" spans="1:66" s="19" customFormat="1" ht="15" customHeight="1" x14ac:dyDescent="0.3">
      <c r="A80" s="105">
        <v>68</v>
      </c>
      <c r="B80" s="108"/>
      <c r="C80" s="85"/>
      <c r="D80" s="106"/>
      <c r="E80" s="107"/>
      <c r="F80" s="113"/>
      <c r="G80" s="114"/>
      <c r="H80" s="107"/>
      <c r="I80" s="107"/>
      <c r="J80" s="107"/>
      <c r="K80" s="107"/>
      <c r="L80" s="13"/>
      <c r="M80" s="13"/>
      <c r="N80" s="13"/>
      <c r="O80" s="13"/>
      <c r="P80" s="13"/>
      <c r="Q80" s="13"/>
      <c r="R80" s="13"/>
      <c r="S80" s="13"/>
      <c r="T80" s="13"/>
      <c r="U80" s="13"/>
      <c r="V80" s="13"/>
      <c r="W80" s="13"/>
      <c r="X80" s="13"/>
      <c r="AE80" s="103">
        <f t="shared" si="50"/>
        <v>0</v>
      </c>
      <c r="AF80" s="103">
        <f t="shared" si="36"/>
        <v>0</v>
      </c>
      <c r="AG80" s="103">
        <f t="shared" si="37"/>
        <v>0</v>
      </c>
      <c r="AH80" s="103">
        <f t="shared" si="38"/>
        <v>0</v>
      </c>
      <c r="AI80" s="103">
        <f t="shared" si="39"/>
        <v>0</v>
      </c>
      <c r="AJ80" s="103">
        <f t="shared" si="40"/>
        <v>0</v>
      </c>
      <c r="AK80" s="103">
        <f t="shared" si="41"/>
        <v>0</v>
      </c>
      <c r="AL80" s="103">
        <f t="shared" si="42"/>
        <v>0</v>
      </c>
      <c r="AM80" s="103">
        <f t="shared" si="43"/>
        <v>0</v>
      </c>
      <c r="AN80" s="103">
        <f t="shared" si="44"/>
        <v>0</v>
      </c>
      <c r="AO80" s="103">
        <f t="shared" si="45"/>
        <v>0</v>
      </c>
      <c r="AP80" s="103">
        <f t="shared" si="46"/>
        <v>0</v>
      </c>
      <c r="AQ80" s="103">
        <f t="shared" si="47"/>
        <v>0</v>
      </c>
      <c r="AR80" s="103">
        <f t="shared" si="48"/>
        <v>0</v>
      </c>
      <c r="AS80" s="103"/>
      <c r="AT80" s="103">
        <f t="shared" si="35"/>
        <v>0</v>
      </c>
      <c r="AU80" s="103">
        <f t="shared" si="49"/>
        <v>0</v>
      </c>
      <c r="AV80" s="103">
        <f t="shared" si="51"/>
        <v>0</v>
      </c>
      <c r="AW80" s="103">
        <f t="shared" si="52"/>
        <v>0</v>
      </c>
      <c r="AX80" s="103"/>
      <c r="AY80" s="104">
        <f t="shared" si="53"/>
        <v>0</v>
      </c>
      <c r="AZ80" s="104">
        <f t="shared" si="54"/>
        <v>0</v>
      </c>
      <c r="BA80" s="104">
        <f t="shared" si="55"/>
        <v>0</v>
      </c>
      <c r="BB80" s="104">
        <f t="shared" si="56"/>
        <v>0</v>
      </c>
      <c r="BC80" s="104">
        <f t="shared" si="57"/>
        <v>0</v>
      </c>
      <c r="BD80" s="104">
        <f t="shared" si="58"/>
        <v>0</v>
      </c>
      <c r="BE80" s="104">
        <f t="shared" si="59"/>
        <v>0</v>
      </c>
      <c r="BF80" s="104">
        <f t="shared" si="60"/>
        <v>0</v>
      </c>
      <c r="BG80" s="104">
        <f t="shared" si="61"/>
        <v>0</v>
      </c>
      <c r="BH80" s="104">
        <f t="shared" si="62"/>
        <v>0</v>
      </c>
      <c r="BI80" s="104">
        <f t="shared" si="63"/>
        <v>0</v>
      </c>
      <c r="BJ80" s="104">
        <f t="shared" si="64"/>
        <v>0</v>
      </c>
      <c r="BL80" s="104">
        <f t="shared" si="65"/>
        <v>0</v>
      </c>
      <c r="BM80" s="104">
        <f t="shared" si="66"/>
        <v>0</v>
      </c>
      <c r="BN80" s="104">
        <f t="shared" si="67"/>
        <v>0</v>
      </c>
    </row>
    <row r="81" spans="1:66" s="19" customFormat="1" ht="15" customHeight="1" x14ac:dyDescent="0.3">
      <c r="A81" s="105">
        <v>69</v>
      </c>
      <c r="B81" s="108"/>
      <c r="C81" s="85"/>
      <c r="D81" s="106"/>
      <c r="E81" s="107"/>
      <c r="F81" s="113"/>
      <c r="G81" s="114"/>
      <c r="H81" s="107"/>
      <c r="I81" s="107"/>
      <c r="J81" s="107"/>
      <c r="K81" s="107"/>
      <c r="L81" s="13"/>
      <c r="M81" s="13"/>
      <c r="N81" s="13"/>
      <c r="O81" s="13"/>
      <c r="P81" s="13"/>
      <c r="Q81" s="13"/>
      <c r="R81" s="13"/>
      <c r="S81" s="13"/>
      <c r="T81" s="13"/>
      <c r="U81" s="13"/>
      <c r="V81" s="13"/>
      <c r="W81" s="13"/>
      <c r="X81" s="13"/>
      <c r="AE81" s="103">
        <f t="shared" si="50"/>
        <v>0</v>
      </c>
      <c r="AF81" s="103">
        <f t="shared" si="36"/>
        <v>0</v>
      </c>
      <c r="AG81" s="103">
        <f t="shared" si="37"/>
        <v>0</v>
      </c>
      <c r="AH81" s="103">
        <f t="shared" si="38"/>
        <v>0</v>
      </c>
      <c r="AI81" s="103">
        <f t="shared" si="39"/>
        <v>0</v>
      </c>
      <c r="AJ81" s="103">
        <f t="shared" si="40"/>
        <v>0</v>
      </c>
      <c r="AK81" s="103">
        <f t="shared" si="41"/>
        <v>0</v>
      </c>
      <c r="AL81" s="103">
        <f t="shared" si="42"/>
        <v>0</v>
      </c>
      <c r="AM81" s="103">
        <f t="shared" si="43"/>
        <v>0</v>
      </c>
      <c r="AN81" s="103">
        <f t="shared" si="44"/>
        <v>0</v>
      </c>
      <c r="AO81" s="103">
        <f t="shared" si="45"/>
        <v>0</v>
      </c>
      <c r="AP81" s="103">
        <f t="shared" si="46"/>
        <v>0</v>
      </c>
      <c r="AQ81" s="103">
        <f t="shared" si="47"/>
        <v>0</v>
      </c>
      <c r="AR81" s="103">
        <f t="shared" si="48"/>
        <v>0</v>
      </c>
      <c r="AS81" s="103"/>
      <c r="AT81" s="103">
        <f t="shared" si="35"/>
        <v>0</v>
      </c>
      <c r="AU81" s="103">
        <f t="shared" si="49"/>
        <v>0</v>
      </c>
      <c r="AV81" s="103">
        <f t="shared" si="51"/>
        <v>0</v>
      </c>
      <c r="AW81" s="103">
        <f t="shared" si="52"/>
        <v>0</v>
      </c>
      <c r="AX81" s="103"/>
      <c r="AY81" s="104">
        <f t="shared" si="53"/>
        <v>0</v>
      </c>
      <c r="AZ81" s="104">
        <f t="shared" si="54"/>
        <v>0</v>
      </c>
      <c r="BA81" s="104">
        <f t="shared" si="55"/>
        <v>0</v>
      </c>
      <c r="BB81" s="104">
        <f t="shared" si="56"/>
        <v>0</v>
      </c>
      <c r="BC81" s="104">
        <f t="shared" si="57"/>
        <v>0</v>
      </c>
      <c r="BD81" s="104">
        <f t="shared" si="58"/>
        <v>0</v>
      </c>
      <c r="BE81" s="104">
        <f t="shared" si="59"/>
        <v>0</v>
      </c>
      <c r="BF81" s="104">
        <f t="shared" si="60"/>
        <v>0</v>
      </c>
      <c r="BG81" s="104">
        <f t="shared" si="61"/>
        <v>0</v>
      </c>
      <c r="BH81" s="104">
        <f t="shared" si="62"/>
        <v>0</v>
      </c>
      <c r="BI81" s="104">
        <f t="shared" si="63"/>
        <v>0</v>
      </c>
      <c r="BJ81" s="104">
        <f t="shared" si="64"/>
        <v>0</v>
      </c>
      <c r="BL81" s="104">
        <f t="shared" si="65"/>
        <v>0</v>
      </c>
      <c r="BM81" s="104">
        <f t="shared" si="66"/>
        <v>0</v>
      </c>
      <c r="BN81" s="104">
        <f t="shared" si="67"/>
        <v>0</v>
      </c>
    </row>
    <row r="82" spans="1:66" s="19" customFormat="1" ht="15" customHeight="1" x14ac:dyDescent="0.3">
      <c r="A82" s="105">
        <v>70</v>
      </c>
      <c r="B82" s="108"/>
      <c r="C82" s="85"/>
      <c r="D82" s="106"/>
      <c r="E82" s="107"/>
      <c r="F82" s="113"/>
      <c r="G82" s="114"/>
      <c r="H82" s="107"/>
      <c r="I82" s="107"/>
      <c r="J82" s="107"/>
      <c r="K82" s="107"/>
      <c r="L82" s="13"/>
      <c r="M82" s="13"/>
      <c r="N82" s="13"/>
      <c r="O82" s="13"/>
      <c r="P82" s="13"/>
      <c r="Q82" s="13"/>
      <c r="R82" s="13"/>
      <c r="S82" s="13"/>
      <c r="T82" s="13"/>
      <c r="U82" s="13"/>
      <c r="V82" s="13"/>
      <c r="W82" s="13"/>
      <c r="X82" s="13"/>
      <c r="AE82" s="103">
        <f t="shared" si="50"/>
        <v>0</v>
      </c>
      <c r="AF82" s="103">
        <f t="shared" si="36"/>
        <v>0</v>
      </c>
      <c r="AG82" s="103">
        <f t="shared" si="37"/>
        <v>0</v>
      </c>
      <c r="AH82" s="103">
        <f t="shared" si="38"/>
        <v>0</v>
      </c>
      <c r="AI82" s="103">
        <f t="shared" si="39"/>
        <v>0</v>
      </c>
      <c r="AJ82" s="103">
        <f t="shared" si="40"/>
        <v>0</v>
      </c>
      <c r="AK82" s="103">
        <f t="shared" si="41"/>
        <v>0</v>
      </c>
      <c r="AL82" s="103">
        <f t="shared" si="42"/>
        <v>0</v>
      </c>
      <c r="AM82" s="103">
        <f t="shared" si="43"/>
        <v>0</v>
      </c>
      <c r="AN82" s="103">
        <f t="shared" si="44"/>
        <v>0</v>
      </c>
      <c r="AO82" s="103">
        <f t="shared" si="45"/>
        <v>0</v>
      </c>
      <c r="AP82" s="103">
        <f t="shared" si="46"/>
        <v>0</v>
      </c>
      <c r="AQ82" s="103">
        <f t="shared" si="47"/>
        <v>0</v>
      </c>
      <c r="AR82" s="103">
        <f t="shared" si="48"/>
        <v>0</v>
      </c>
      <c r="AS82" s="103"/>
      <c r="AT82" s="103">
        <f t="shared" si="35"/>
        <v>0</v>
      </c>
      <c r="AU82" s="103">
        <f t="shared" si="49"/>
        <v>0</v>
      </c>
      <c r="AV82" s="103">
        <f t="shared" si="51"/>
        <v>0</v>
      </c>
      <c r="AW82" s="103">
        <f t="shared" si="52"/>
        <v>0</v>
      </c>
      <c r="AX82" s="103"/>
      <c r="AY82" s="104">
        <f t="shared" si="53"/>
        <v>0</v>
      </c>
      <c r="AZ82" s="104">
        <f t="shared" si="54"/>
        <v>0</v>
      </c>
      <c r="BA82" s="104">
        <f t="shared" si="55"/>
        <v>0</v>
      </c>
      <c r="BB82" s="104">
        <f t="shared" si="56"/>
        <v>0</v>
      </c>
      <c r="BC82" s="104">
        <f t="shared" si="57"/>
        <v>0</v>
      </c>
      <c r="BD82" s="104">
        <f t="shared" si="58"/>
        <v>0</v>
      </c>
      <c r="BE82" s="104">
        <f t="shared" si="59"/>
        <v>0</v>
      </c>
      <c r="BF82" s="104">
        <f t="shared" si="60"/>
        <v>0</v>
      </c>
      <c r="BG82" s="104">
        <f t="shared" si="61"/>
        <v>0</v>
      </c>
      <c r="BH82" s="104">
        <f t="shared" si="62"/>
        <v>0</v>
      </c>
      <c r="BI82" s="104">
        <f t="shared" si="63"/>
        <v>0</v>
      </c>
      <c r="BJ82" s="104">
        <f t="shared" si="64"/>
        <v>0</v>
      </c>
      <c r="BL82" s="104">
        <f t="shared" si="65"/>
        <v>0</v>
      </c>
      <c r="BM82" s="104">
        <f t="shared" si="66"/>
        <v>0</v>
      </c>
      <c r="BN82" s="104">
        <f t="shared" si="67"/>
        <v>0</v>
      </c>
    </row>
    <row r="83" spans="1:66" s="19" customFormat="1" ht="15" customHeight="1" x14ac:dyDescent="0.3">
      <c r="A83" s="105">
        <v>71</v>
      </c>
      <c r="B83" s="108"/>
      <c r="C83" s="85"/>
      <c r="D83" s="106"/>
      <c r="E83" s="107"/>
      <c r="F83" s="113"/>
      <c r="G83" s="114"/>
      <c r="H83" s="107"/>
      <c r="I83" s="107"/>
      <c r="J83" s="107"/>
      <c r="K83" s="107"/>
      <c r="L83" s="13"/>
      <c r="M83" s="13"/>
      <c r="N83" s="13"/>
      <c r="O83" s="13"/>
      <c r="P83" s="13"/>
      <c r="Q83" s="13"/>
      <c r="R83" s="13"/>
      <c r="S83" s="13"/>
      <c r="T83" s="13"/>
      <c r="U83" s="13"/>
      <c r="V83" s="13"/>
      <c r="W83" s="13"/>
      <c r="X83" s="13"/>
      <c r="AE83" s="103">
        <f t="shared" si="50"/>
        <v>0</v>
      </c>
      <c r="AF83" s="103">
        <f t="shared" si="36"/>
        <v>0</v>
      </c>
      <c r="AG83" s="103">
        <f t="shared" si="37"/>
        <v>0</v>
      </c>
      <c r="AH83" s="103">
        <f t="shared" si="38"/>
        <v>0</v>
      </c>
      <c r="AI83" s="103">
        <f t="shared" si="39"/>
        <v>0</v>
      </c>
      <c r="AJ83" s="103">
        <f t="shared" si="40"/>
        <v>0</v>
      </c>
      <c r="AK83" s="103">
        <f t="shared" si="41"/>
        <v>0</v>
      </c>
      <c r="AL83" s="103">
        <f t="shared" si="42"/>
        <v>0</v>
      </c>
      <c r="AM83" s="103">
        <f t="shared" si="43"/>
        <v>0</v>
      </c>
      <c r="AN83" s="103">
        <f t="shared" si="44"/>
        <v>0</v>
      </c>
      <c r="AO83" s="103">
        <f t="shared" si="45"/>
        <v>0</v>
      </c>
      <c r="AP83" s="103">
        <f t="shared" si="46"/>
        <v>0</v>
      </c>
      <c r="AQ83" s="103">
        <f t="shared" si="47"/>
        <v>0</v>
      </c>
      <c r="AR83" s="103">
        <f t="shared" si="48"/>
        <v>0</v>
      </c>
      <c r="AS83" s="103"/>
      <c r="AT83" s="103">
        <f t="shared" si="35"/>
        <v>0</v>
      </c>
      <c r="AU83" s="103">
        <f t="shared" si="49"/>
        <v>0</v>
      </c>
      <c r="AV83" s="103">
        <f t="shared" si="51"/>
        <v>0</v>
      </c>
      <c r="AW83" s="103">
        <f t="shared" si="52"/>
        <v>0</v>
      </c>
      <c r="AX83" s="103"/>
      <c r="AY83" s="104">
        <f t="shared" si="53"/>
        <v>0</v>
      </c>
      <c r="AZ83" s="104">
        <f t="shared" si="54"/>
        <v>0</v>
      </c>
      <c r="BA83" s="104">
        <f t="shared" si="55"/>
        <v>0</v>
      </c>
      <c r="BB83" s="104">
        <f t="shared" si="56"/>
        <v>0</v>
      </c>
      <c r="BC83" s="104">
        <f t="shared" si="57"/>
        <v>0</v>
      </c>
      <c r="BD83" s="104">
        <f t="shared" si="58"/>
        <v>0</v>
      </c>
      <c r="BE83" s="104">
        <f t="shared" si="59"/>
        <v>0</v>
      </c>
      <c r="BF83" s="104">
        <f t="shared" si="60"/>
        <v>0</v>
      </c>
      <c r="BG83" s="104">
        <f t="shared" si="61"/>
        <v>0</v>
      </c>
      <c r="BH83" s="104">
        <f t="shared" si="62"/>
        <v>0</v>
      </c>
      <c r="BI83" s="104">
        <f t="shared" si="63"/>
        <v>0</v>
      </c>
      <c r="BJ83" s="104">
        <f t="shared" si="64"/>
        <v>0</v>
      </c>
      <c r="BL83" s="104">
        <f t="shared" si="65"/>
        <v>0</v>
      </c>
      <c r="BM83" s="104">
        <f t="shared" si="66"/>
        <v>0</v>
      </c>
      <c r="BN83" s="104">
        <f t="shared" si="67"/>
        <v>0</v>
      </c>
    </row>
    <row r="84" spans="1:66" s="19" customFormat="1" ht="15" customHeight="1" x14ac:dyDescent="0.3">
      <c r="A84" s="105">
        <v>72</v>
      </c>
      <c r="B84" s="108"/>
      <c r="C84" s="85"/>
      <c r="D84" s="106"/>
      <c r="E84" s="107"/>
      <c r="F84" s="113"/>
      <c r="G84" s="114"/>
      <c r="H84" s="107"/>
      <c r="I84" s="107"/>
      <c r="J84" s="107"/>
      <c r="K84" s="107"/>
      <c r="L84" s="13"/>
      <c r="M84" s="13"/>
      <c r="N84" s="13"/>
      <c r="O84" s="13"/>
      <c r="P84" s="13"/>
      <c r="Q84" s="13"/>
      <c r="R84" s="13"/>
      <c r="S84" s="13"/>
      <c r="T84" s="13"/>
      <c r="U84" s="13"/>
      <c r="V84" s="13"/>
      <c r="W84" s="13"/>
      <c r="X84" s="13"/>
      <c r="AE84" s="103">
        <f t="shared" si="50"/>
        <v>0</v>
      </c>
      <c r="AF84" s="103">
        <f t="shared" si="36"/>
        <v>0</v>
      </c>
      <c r="AG84" s="103">
        <f t="shared" si="37"/>
        <v>0</v>
      </c>
      <c r="AH84" s="103">
        <f t="shared" si="38"/>
        <v>0</v>
      </c>
      <c r="AI84" s="103">
        <f t="shared" si="39"/>
        <v>0</v>
      </c>
      <c r="AJ84" s="103">
        <f t="shared" si="40"/>
        <v>0</v>
      </c>
      <c r="AK84" s="103">
        <f t="shared" si="41"/>
        <v>0</v>
      </c>
      <c r="AL84" s="103">
        <f t="shared" si="42"/>
        <v>0</v>
      </c>
      <c r="AM84" s="103">
        <f t="shared" si="43"/>
        <v>0</v>
      </c>
      <c r="AN84" s="103">
        <f t="shared" si="44"/>
        <v>0</v>
      </c>
      <c r="AO84" s="103">
        <f t="shared" si="45"/>
        <v>0</v>
      </c>
      <c r="AP84" s="103">
        <f t="shared" si="46"/>
        <v>0</v>
      </c>
      <c r="AQ84" s="103">
        <f t="shared" si="47"/>
        <v>0</v>
      </c>
      <c r="AR84" s="103">
        <f t="shared" si="48"/>
        <v>0</v>
      </c>
      <c r="AS84" s="103"/>
      <c r="AT84" s="103">
        <f t="shared" si="35"/>
        <v>0</v>
      </c>
      <c r="AU84" s="103">
        <f t="shared" si="49"/>
        <v>0</v>
      </c>
      <c r="AV84" s="103">
        <f t="shared" si="51"/>
        <v>0</v>
      </c>
      <c r="AW84" s="103">
        <f t="shared" si="52"/>
        <v>0</v>
      </c>
      <c r="AX84" s="103"/>
      <c r="AY84" s="104">
        <f t="shared" si="53"/>
        <v>0</v>
      </c>
      <c r="AZ84" s="104">
        <f t="shared" si="54"/>
        <v>0</v>
      </c>
      <c r="BA84" s="104">
        <f t="shared" si="55"/>
        <v>0</v>
      </c>
      <c r="BB84" s="104">
        <f t="shared" si="56"/>
        <v>0</v>
      </c>
      <c r="BC84" s="104">
        <f t="shared" si="57"/>
        <v>0</v>
      </c>
      <c r="BD84" s="104">
        <f t="shared" si="58"/>
        <v>0</v>
      </c>
      <c r="BE84" s="104">
        <f t="shared" si="59"/>
        <v>0</v>
      </c>
      <c r="BF84" s="104">
        <f t="shared" si="60"/>
        <v>0</v>
      </c>
      <c r="BG84" s="104">
        <f t="shared" si="61"/>
        <v>0</v>
      </c>
      <c r="BH84" s="104">
        <f t="shared" si="62"/>
        <v>0</v>
      </c>
      <c r="BI84" s="104">
        <f t="shared" si="63"/>
        <v>0</v>
      </c>
      <c r="BJ84" s="104">
        <f t="shared" si="64"/>
        <v>0</v>
      </c>
      <c r="BL84" s="104">
        <f t="shared" si="65"/>
        <v>0</v>
      </c>
      <c r="BM84" s="104">
        <f t="shared" si="66"/>
        <v>0</v>
      </c>
      <c r="BN84" s="104">
        <f t="shared" si="67"/>
        <v>0</v>
      </c>
    </row>
    <row r="85" spans="1:66" s="19" customFormat="1" ht="15" customHeight="1" x14ac:dyDescent="0.3">
      <c r="A85" s="105">
        <v>73</v>
      </c>
      <c r="B85" s="108"/>
      <c r="C85" s="85"/>
      <c r="D85" s="106"/>
      <c r="E85" s="107"/>
      <c r="F85" s="113"/>
      <c r="G85" s="114"/>
      <c r="H85" s="107"/>
      <c r="I85" s="107"/>
      <c r="J85" s="107"/>
      <c r="K85" s="107"/>
      <c r="L85" s="13"/>
      <c r="M85" s="13"/>
      <c r="N85" s="13"/>
      <c r="O85" s="13"/>
      <c r="P85" s="13"/>
      <c r="Q85" s="13"/>
      <c r="R85" s="13"/>
      <c r="S85" s="13"/>
      <c r="T85" s="13"/>
      <c r="U85" s="13"/>
      <c r="V85" s="13"/>
      <c r="W85" s="13"/>
      <c r="X85" s="13"/>
      <c r="AE85" s="103">
        <f t="shared" si="50"/>
        <v>0</v>
      </c>
      <c r="AF85" s="103">
        <f t="shared" si="36"/>
        <v>0</v>
      </c>
      <c r="AG85" s="103">
        <f t="shared" si="37"/>
        <v>0</v>
      </c>
      <c r="AH85" s="103">
        <f t="shared" si="38"/>
        <v>0</v>
      </c>
      <c r="AI85" s="103">
        <f t="shared" si="39"/>
        <v>0</v>
      </c>
      <c r="AJ85" s="103">
        <f t="shared" si="40"/>
        <v>0</v>
      </c>
      <c r="AK85" s="103">
        <f t="shared" si="41"/>
        <v>0</v>
      </c>
      <c r="AL85" s="103">
        <f t="shared" si="42"/>
        <v>0</v>
      </c>
      <c r="AM85" s="103">
        <f t="shared" si="43"/>
        <v>0</v>
      </c>
      <c r="AN85" s="103">
        <f t="shared" si="44"/>
        <v>0</v>
      </c>
      <c r="AO85" s="103">
        <f t="shared" si="45"/>
        <v>0</v>
      </c>
      <c r="AP85" s="103">
        <f t="shared" si="46"/>
        <v>0</v>
      </c>
      <c r="AQ85" s="103">
        <f t="shared" si="47"/>
        <v>0</v>
      </c>
      <c r="AR85" s="103">
        <f t="shared" si="48"/>
        <v>0</v>
      </c>
      <c r="AS85" s="103"/>
      <c r="AT85" s="103">
        <f t="shared" si="35"/>
        <v>0</v>
      </c>
      <c r="AU85" s="103">
        <f t="shared" si="49"/>
        <v>0</v>
      </c>
      <c r="AV85" s="103">
        <f t="shared" si="51"/>
        <v>0</v>
      </c>
      <c r="AW85" s="103">
        <f t="shared" si="52"/>
        <v>0</v>
      </c>
      <c r="AX85" s="103"/>
      <c r="AY85" s="104">
        <f t="shared" si="53"/>
        <v>0</v>
      </c>
      <c r="AZ85" s="104">
        <f t="shared" si="54"/>
        <v>0</v>
      </c>
      <c r="BA85" s="104">
        <f t="shared" si="55"/>
        <v>0</v>
      </c>
      <c r="BB85" s="104">
        <f t="shared" si="56"/>
        <v>0</v>
      </c>
      <c r="BC85" s="104">
        <f t="shared" si="57"/>
        <v>0</v>
      </c>
      <c r="BD85" s="104">
        <f t="shared" si="58"/>
        <v>0</v>
      </c>
      <c r="BE85" s="104">
        <f t="shared" si="59"/>
        <v>0</v>
      </c>
      <c r="BF85" s="104">
        <f t="shared" si="60"/>
        <v>0</v>
      </c>
      <c r="BG85" s="104">
        <f t="shared" si="61"/>
        <v>0</v>
      </c>
      <c r="BH85" s="104">
        <f t="shared" si="62"/>
        <v>0</v>
      </c>
      <c r="BI85" s="104">
        <f t="shared" si="63"/>
        <v>0</v>
      </c>
      <c r="BJ85" s="104">
        <f t="shared" si="64"/>
        <v>0</v>
      </c>
      <c r="BL85" s="104">
        <f t="shared" si="65"/>
        <v>0</v>
      </c>
      <c r="BM85" s="104">
        <f t="shared" si="66"/>
        <v>0</v>
      </c>
      <c r="BN85" s="104">
        <f t="shared" si="67"/>
        <v>0</v>
      </c>
    </row>
    <row r="86" spans="1:66" s="19" customFormat="1" ht="15" customHeight="1" x14ac:dyDescent="0.3">
      <c r="A86" s="105">
        <v>74</v>
      </c>
      <c r="B86" s="108"/>
      <c r="C86" s="85"/>
      <c r="D86" s="106"/>
      <c r="E86" s="107"/>
      <c r="F86" s="113"/>
      <c r="G86" s="114"/>
      <c r="H86" s="107"/>
      <c r="I86" s="107"/>
      <c r="J86" s="107"/>
      <c r="K86" s="107"/>
      <c r="L86" s="13"/>
      <c r="M86" s="13"/>
      <c r="N86" s="13"/>
      <c r="O86" s="13"/>
      <c r="P86" s="13"/>
      <c r="Q86" s="13"/>
      <c r="R86" s="13"/>
      <c r="S86" s="13"/>
      <c r="T86" s="13"/>
      <c r="U86" s="13"/>
      <c r="V86" s="13"/>
      <c r="W86" s="13"/>
      <c r="X86" s="13"/>
      <c r="AE86" s="103">
        <f t="shared" si="50"/>
        <v>0</v>
      </c>
      <c r="AF86" s="103">
        <f t="shared" si="36"/>
        <v>0</v>
      </c>
      <c r="AG86" s="103">
        <f t="shared" si="37"/>
        <v>0</v>
      </c>
      <c r="AH86" s="103">
        <f t="shared" si="38"/>
        <v>0</v>
      </c>
      <c r="AI86" s="103">
        <f t="shared" si="39"/>
        <v>0</v>
      </c>
      <c r="AJ86" s="103">
        <f t="shared" si="40"/>
        <v>0</v>
      </c>
      <c r="AK86" s="103">
        <f t="shared" si="41"/>
        <v>0</v>
      </c>
      <c r="AL86" s="103">
        <f t="shared" si="42"/>
        <v>0</v>
      </c>
      <c r="AM86" s="103">
        <f t="shared" si="43"/>
        <v>0</v>
      </c>
      <c r="AN86" s="103">
        <f t="shared" si="44"/>
        <v>0</v>
      </c>
      <c r="AO86" s="103">
        <f t="shared" si="45"/>
        <v>0</v>
      </c>
      <c r="AP86" s="103">
        <f t="shared" si="46"/>
        <v>0</v>
      </c>
      <c r="AQ86" s="103">
        <f t="shared" si="47"/>
        <v>0</v>
      </c>
      <c r="AR86" s="103">
        <f t="shared" si="48"/>
        <v>0</v>
      </c>
      <c r="AS86" s="103"/>
      <c r="AT86" s="103">
        <f t="shared" si="35"/>
        <v>0</v>
      </c>
      <c r="AU86" s="103">
        <f t="shared" si="49"/>
        <v>0</v>
      </c>
      <c r="AV86" s="103">
        <f t="shared" si="51"/>
        <v>0</v>
      </c>
      <c r="AW86" s="103">
        <f t="shared" si="52"/>
        <v>0</v>
      </c>
      <c r="AX86" s="103"/>
      <c r="AY86" s="104">
        <f t="shared" si="53"/>
        <v>0</v>
      </c>
      <c r="AZ86" s="104">
        <f t="shared" si="54"/>
        <v>0</v>
      </c>
      <c r="BA86" s="104">
        <f t="shared" si="55"/>
        <v>0</v>
      </c>
      <c r="BB86" s="104">
        <f t="shared" si="56"/>
        <v>0</v>
      </c>
      <c r="BC86" s="104">
        <f t="shared" si="57"/>
        <v>0</v>
      </c>
      <c r="BD86" s="104">
        <f t="shared" si="58"/>
        <v>0</v>
      </c>
      <c r="BE86" s="104">
        <f t="shared" si="59"/>
        <v>0</v>
      </c>
      <c r="BF86" s="104">
        <f t="shared" si="60"/>
        <v>0</v>
      </c>
      <c r="BG86" s="104">
        <f t="shared" si="61"/>
        <v>0</v>
      </c>
      <c r="BH86" s="104">
        <f t="shared" si="62"/>
        <v>0</v>
      </c>
      <c r="BI86" s="104">
        <f t="shared" si="63"/>
        <v>0</v>
      </c>
      <c r="BJ86" s="104">
        <f t="shared" si="64"/>
        <v>0</v>
      </c>
      <c r="BL86" s="104">
        <f t="shared" si="65"/>
        <v>0</v>
      </c>
      <c r="BM86" s="104">
        <f t="shared" si="66"/>
        <v>0</v>
      </c>
      <c r="BN86" s="104">
        <f t="shared" si="67"/>
        <v>0</v>
      </c>
    </row>
    <row r="87" spans="1:66" s="19" customFormat="1" ht="15" customHeight="1" x14ac:dyDescent="0.3">
      <c r="A87" s="105">
        <v>75</v>
      </c>
      <c r="B87" s="108"/>
      <c r="C87" s="85"/>
      <c r="D87" s="106"/>
      <c r="E87" s="107"/>
      <c r="F87" s="113"/>
      <c r="G87" s="114"/>
      <c r="H87" s="107"/>
      <c r="I87" s="107"/>
      <c r="J87" s="107"/>
      <c r="K87" s="107"/>
      <c r="L87" s="13"/>
      <c r="M87" s="13"/>
      <c r="N87" s="13"/>
      <c r="O87" s="13"/>
      <c r="P87" s="13"/>
      <c r="Q87" s="13"/>
      <c r="R87" s="13"/>
      <c r="S87" s="13"/>
      <c r="T87" s="13"/>
      <c r="U87" s="13"/>
      <c r="V87" s="13"/>
      <c r="W87" s="13"/>
      <c r="X87" s="13"/>
      <c r="AE87" s="103">
        <f t="shared" si="50"/>
        <v>0</v>
      </c>
      <c r="AF87" s="103">
        <f t="shared" si="36"/>
        <v>0</v>
      </c>
      <c r="AG87" s="103">
        <f t="shared" si="37"/>
        <v>0</v>
      </c>
      <c r="AH87" s="103">
        <f t="shared" si="38"/>
        <v>0</v>
      </c>
      <c r="AI87" s="103">
        <f t="shared" si="39"/>
        <v>0</v>
      </c>
      <c r="AJ87" s="103">
        <f t="shared" si="40"/>
        <v>0</v>
      </c>
      <c r="AK87" s="103">
        <f t="shared" si="41"/>
        <v>0</v>
      </c>
      <c r="AL87" s="103">
        <f t="shared" si="42"/>
        <v>0</v>
      </c>
      <c r="AM87" s="103">
        <f t="shared" si="43"/>
        <v>0</v>
      </c>
      <c r="AN87" s="103">
        <f t="shared" si="44"/>
        <v>0</v>
      </c>
      <c r="AO87" s="103">
        <f t="shared" si="45"/>
        <v>0</v>
      </c>
      <c r="AP87" s="103">
        <f t="shared" si="46"/>
        <v>0</v>
      </c>
      <c r="AQ87" s="103">
        <f t="shared" si="47"/>
        <v>0</v>
      </c>
      <c r="AR87" s="103">
        <f t="shared" si="48"/>
        <v>0</v>
      </c>
      <c r="AS87" s="103"/>
      <c r="AT87" s="103">
        <f t="shared" si="35"/>
        <v>0</v>
      </c>
      <c r="AU87" s="103">
        <f t="shared" si="49"/>
        <v>0</v>
      </c>
      <c r="AV87" s="103">
        <f t="shared" si="51"/>
        <v>0</v>
      </c>
      <c r="AW87" s="103">
        <f t="shared" si="52"/>
        <v>0</v>
      </c>
      <c r="AX87" s="103"/>
      <c r="AY87" s="104">
        <f t="shared" si="53"/>
        <v>0</v>
      </c>
      <c r="AZ87" s="104">
        <f t="shared" si="54"/>
        <v>0</v>
      </c>
      <c r="BA87" s="104">
        <f t="shared" si="55"/>
        <v>0</v>
      </c>
      <c r="BB87" s="104">
        <f t="shared" si="56"/>
        <v>0</v>
      </c>
      <c r="BC87" s="104">
        <f t="shared" si="57"/>
        <v>0</v>
      </c>
      <c r="BD87" s="104">
        <f t="shared" si="58"/>
        <v>0</v>
      </c>
      <c r="BE87" s="104">
        <f t="shared" si="59"/>
        <v>0</v>
      </c>
      <c r="BF87" s="104">
        <f t="shared" si="60"/>
        <v>0</v>
      </c>
      <c r="BG87" s="104">
        <f t="shared" si="61"/>
        <v>0</v>
      </c>
      <c r="BH87" s="104">
        <f t="shared" si="62"/>
        <v>0</v>
      </c>
      <c r="BI87" s="104">
        <f t="shared" si="63"/>
        <v>0</v>
      </c>
      <c r="BJ87" s="104">
        <f t="shared" si="64"/>
        <v>0</v>
      </c>
      <c r="BL87" s="104">
        <f t="shared" si="65"/>
        <v>0</v>
      </c>
      <c r="BM87" s="104">
        <f t="shared" si="66"/>
        <v>0</v>
      </c>
      <c r="BN87" s="104">
        <f t="shared" si="67"/>
        <v>0</v>
      </c>
    </row>
    <row r="88" spans="1:66" s="19" customFormat="1" ht="15" customHeight="1" x14ac:dyDescent="0.3">
      <c r="A88" s="122"/>
      <c r="B88" s="123"/>
      <c r="C88" s="73"/>
      <c r="D88" s="32"/>
      <c r="E88" s="124"/>
      <c r="F88" s="125"/>
      <c r="G88" s="126"/>
      <c r="H88" s="124"/>
      <c r="I88" s="124"/>
      <c r="J88" s="124"/>
      <c r="K88" s="124"/>
      <c r="L88" s="13"/>
      <c r="M88" s="13"/>
      <c r="N88" s="13"/>
      <c r="O88" s="13"/>
      <c r="P88" s="13"/>
      <c r="Q88" s="13"/>
      <c r="R88" s="13"/>
      <c r="S88" s="13"/>
      <c r="T88" s="13"/>
      <c r="U88" s="13"/>
      <c r="V88" s="13"/>
      <c r="W88" s="13"/>
      <c r="X88" s="13"/>
      <c r="AE88" s="103">
        <f t="shared" si="50"/>
        <v>0</v>
      </c>
      <c r="AF88" s="103">
        <f t="shared" si="36"/>
        <v>0</v>
      </c>
      <c r="AG88" s="103">
        <f t="shared" si="37"/>
        <v>0</v>
      </c>
      <c r="AH88" s="103">
        <f t="shared" si="38"/>
        <v>0</v>
      </c>
      <c r="AI88" s="103">
        <f t="shared" si="39"/>
        <v>0</v>
      </c>
      <c r="AJ88" s="103">
        <f t="shared" si="40"/>
        <v>0</v>
      </c>
      <c r="AK88" s="103">
        <f t="shared" si="41"/>
        <v>0</v>
      </c>
      <c r="AL88" s="103">
        <f t="shared" si="42"/>
        <v>0</v>
      </c>
      <c r="AM88" s="103">
        <f t="shared" si="43"/>
        <v>0</v>
      </c>
      <c r="AN88" s="103">
        <f t="shared" si="44"/>
        <v>0</v>
      </c>
      <c r="AO88" s="103">
        <f t="shared" si="45"/>
        <v>0</v>
      </c>
      <c r="AP88" s="103">
        <f t="shared" si="46"/>
        <v>0</v>
      </c>
      <c r="AQ88" s="103">
        <f t="shared" si="47"/>
        <v>0</v>
      </c>
      <c r="AR88" s="103">
        <f t="shared" si="48"/>
        <v>0</v>
      </c>
      <c r="AS88" s="103"/>
      <c r="AT88" s="103">
        <f t="shared" si="35"/>
        <v>0</v>
      </c>
      <c r="AU88" s="103">
        <f t="shared" si="49"/>
        <v>0</v>
      </c>
      <c r="AV88" s="103">
        <f t="shared" si="51"/>
        <v>0</v>
      </c>
      <c r="AW88" s="103">
        <f t="shared" si="52"/>
        <v>0</v>
      </c>
      <c r="AX88" s="103"/>
      <c r="AY88" s="104">
        <f t="shared" si="53"/>
        <v>0</v>
      </c>
      <c r="AZ88" s="104">
        <f t="shared" si="54"/>
        <v>0</v>
      </c>
      <c r="BA88" s="104">
        <f t="shared" si="55"/>
        <v>0</v>
      </c>
      <c r="BB88" s="104">
        <f t="shared" si="56"/>
        <v>0</v>
      </c>
      <c r="BC88" s="104">
        <f t="shared" si="57"/>
        <v>0</v>
      </c>
      <c r="BD88" s="104">
        <f t="shared" si="58"/>
        <v>0</v>
      </c>
      <c r="BE88" s="104">
        <f t="shared" si="59"/>
        <v>0</v>
      </c>
      <c r="BF88" s="104">
        <f t="shared" si="60"/>
        <v>0</v>
      </c>
      <c r="BG88" s="104">
        <f t="shared" si="61"/>
        <v>0</v>
      </c>
      <c r="BH88" s="104">
        <f t="shared" si="62"/>
        <v>0</v>
      </c>
      <c r="BI88" s="104">
        <f t="shared" si="63"/>
        <v>0</v>
      </c>
      <c r="BJ88" s="104">
        <f t="shared" si="64"/>
        <v>0</v>
      </c>
      <c r="BL88" s="104">
        <f t="shared" si="65"/>
        <v>0</v>
      </c>
      <c r="BM88" s="104">
        <f t="shared" si="66"/>
        <v>0</v>
      </c>
      <c r="BN88" s="104">
        <f t="shared" si="67"/>
        <v>0</v>
      </c>
    </row>
    <row r="89" spans="1:66" s="19" customFormat="1" ht="15" customHeight="1" x14ac:dyDescent="0.3">
      <c r="A89" s="115">
        <v>76</v>
      </c>
      <c r="B89" s="116"/>
      <c r="C89" s="117"/>
      <c r="D89" s="118"/>
      <c r="E89" s="119"/>
      <c r="F89" s="120"/>
      <c r="G89" s="121"/>
      <c r="H89" s="119"/>
      <c r="I89" s="119"/>
      <c r="J89" s="119"/>
      <c r="K89" s="119"/>
      <c r="L89" s="13" t="s">
        <v>101</v>
      </c>
      <c r="M89" s="13"/>
      <c r="N89" s="13"/>
      <c r="O89" s="13"/>
      <c r="P89" s="13"/>
      <c r="Q89" s="13"/>
      <c r="R89" s="13"/>
      <c r="S89" s="13"/>
      <c r="T89" s="13"/>
      <c r="U89" s="13"/>
      <c r="V89" s="13"/>
      <c r="W89" s="13"/>
      <c r="X89" s="13"/>
      <c r="AE89" s="103"/>
      <c r="AF89" s="103"/>
      <c r="AG89" s="103"/>
      <c r="AH89" s="103"/>
      <c r="AI89" s="103"/>
      <c r="AJ89" s="103"/>
      <c r="AK89" s="103"/>
      <c r="AL89" s="103"/>
      <c r="AM89" s="103"/>
      <c r="AN89" s="103"/>
      <c r="AO89" s="103"/>
      <c r="AP89" s="103"/>
      <c r="AQ89" s="103"/>
      <c r="AR89" s="103"/>
      <c r="AS89" s="103"/>
      <c r="AT89" s="103"/>
      <c r="AU89" s="103"/>
      <c r="AV89" s="103"/>
      <c r="AW89" s="103"/>
      <c r="AX89" s="103"/>
      <c r="AY89" s="104"/>
      <c r="AZ89" s="104"/>
      <c r="BA89" s="104"/>
      <c r="BB89" s="104"/>
      <c r="BC89" s="104"/>
      <c r="BD89" s="104"/>
      <c r="BE89" s="104"/>
      <c r="BF89" s="104"/>
      <c r="BG89" s="104"/>
      <c r="BH89" s="104"/>
      <c r="BI89" s="104"/>
      <c r="BJ89" s="104"/>
      <c r="BL89" s="104"/>
      <c r="BM89" s="104"/>
      <c r="BN89" s="104"/>
    </row>
    <row r="90" spans="1:66" s="19" customFormat="1" ht="15" customHeight="1" x14ac:dyDescent="0.3">
      <c r="A90" s="96">
        <v>77</v>
      </c>
      <c r="B90" s="97"/>
      <c r="C90" s="98"/>
      <c r="D90" s="99"/>
      <c r="E90" s="100"/>
      <c r="F90" s="101"/>
      <c r="G90" s="102"/>
      <c r="H90" s="100"/>
      <c r="I90" s="100"/>
      <c r="J90" s="100"/>
      <c r="K90" s="100"/>
      <c r="L90" s="13"/>
      <c r="M90" s="13"/>
      <c r="N90" s="13"/>
      <c r="O90" s="13"/>
      <c r="P90" s="13"/>
      <c r="Q90" s="13"/>
      <c r="R90" s="13"/>
      <c r="S90" s="13"/>
      <c r="T90" s="13"/>
      <c r="U90" s="13"/>
      <c r="V90" s="13"/>
      <c r="W90" s="13"/>
      <c r="X90" s="13"/>
      <c r="AE90" s="103">
        <f t="shared" si="50"/>
        <v>0</v>
      </c>
      <c r="AF90" s="103">
        <f t="shared" si="36"/>
        <v>0</v>
      </c>
      <c r="AG90" s="103">
        <f t="shared" si="37"/>
        <v>0</v>
      </c>
      <c r="AH90" s="103">
        <f t="shared" si="38"/>
        <v>0</v>
      </c>
      <c r="AI90" s="103">
        <f t="shared" si="39"/>
        <v>0</v>
      </c>
      <c r="AJ90" s="103">
        <f t="shared" si="40"/>
        <v>0</v>
      </c>
      <c r="AK90" s="103">
        <f t="shared" si="41"/>
        <v>0</v>
      </c>
      <c r="AL90" s="103">
        <f t="shared" si="42"/>
        <v>0</v>
      </c>
      <c r="AM90" s="103">
        <f t="shared" si="43"/>
        <v>0</v>
      </c>
      <c r="AN90" s="103">
        <f t="shared" si="44"/>
        <v>0</v>
      </c>
      <c r="AO90" s="103">
        <f t="shared" si="45"/>
        <v>0</v>
      </c>
      <c r="AP90" s="103">
        <f t="shared" si="46"/>
        <v>0</v>
      </c>
      <c r="AQ90" s="103">
        <f t="shared" si="47"/>
        <v>0</v>
      </c>
      <c r="AR90" s="103">
        <f t="shared" si="48"/>
        <v>0</v>
      </c>
      <c r="AS90" s="103"/>
      <c r="AT90" s="103">
        <f t="shared" si="35"/>
        <v>0</v>
      </c>
      <c r="AU90" s="103">
        <f t="shared" si="49"/>
        <v>0</v>
      </c>
      <c r="AV90" s="103">
        <f t="shared" si="51"/>
        <v>0</v>
      </c>
      <c r="AW90" s="103">
        <f t="shared" si="52"/>
        <v>0</v>
      </c>
      <c r="AX90" s="103"/>
      <c r="AY90" s="104">
        <f t="shared" si="53"/>
        <v>0</v>
      </c>
      <c r="AZ90" s="104">
        <f t="shared" si="54"/>
        <v>0</v>
      </c>
      <c r="BA90" s="104">
        <f t="shared" si="55"/>
        <v>0</v>
      </c>
      <c r="BB90" s="104">
        <f t="shared" si="56"/>
        <v>0</v>
      </c>
      <c r="BC90" s="104">
        <f t="shared" si="57"/>
        <v>0</v>
      </c>
      <c r="BD90" s="104">
        <f t="shared" si="58"/>
        <v>0</v>
      </c>
      <c r="BE90" s="104">
        <f t="shared" si="59"/>
        <v>0</v>
      </c>
      <c r="BF90" s="104">
        <f t="shared" si="60"/>
        <v>0</v>
      </c>
      <c r="BG90" s="104">
        <f t="shared" si="61"/>
        <v>0</v>
      </c>
      <c r="BH90" s="104">
        <f t="shared" si="62"/>
        <v>0</v>
      </c>
      <c r="BI90" s="104">
        <f t="shared" si="63"/>
        <v>0</v>
      </c>
      <c r="BJ90" s="104">
        <f t="shared" si="64"/>
        <v>0</v>
      </c>
      <c r="BL90" s="104">
        <f t="shared" si="65"/>
        <v>0</v>
      </c>
      <c r="BM90" s="104">
        <f t="shared" si="66"/>
        <v>0</v>
      </c>
      <c r="BN90" s="104">
        <f t="shared" si="67"/>
        <v>0</v>
      </c>
    </row>
    <row r="91" spans="1:66" s="19" customFormat="1" ht="15" customHeight="1" x14ac:dyDescent="0.3">
      <c r="A91" s="105">
        <v>78</v>
      </c>
      <c r="B91" s="108"/>
      <c r="C91" s="85"/>
      <c r="D91" s="106"/>
      <c r="E91" s="107"/>
      <c r="F91" s="113"/>
      <c r="G91" s="114"/>
      <c r="H91" s="107"/>
      <c r="I91" s="107"/>
      <c r="J91" s="107"/>
      <c r="K91" s="107"/>
      <c r="L91" s="13"/>
      <c r="M91" s="13"/>
      <c r="N91" s="13"/>
      <c r="O91" s="13"/>
      <c r="P91" s="13"/>
      <c r="Q91" s="13"/>
      <c r="R91" s="13"/>
      <c r="S91" s="13"/>
      <c r="T91" s="13"/>
      <c r="U91" s="13"/>
      <c r="V91" s="13"/>
      <c r="W91" s="13"/>
      <c r="X91" s="13"/>
      <c r="AE91" s="103">
        <f t="shared" si="50"/>
        <v>0</v>
      </c>
      <c r="AF91" s="103">
        <f t="shared" si="36"/>
        <v>0</v>
      </c>
      <c r="AG91" s="103">
        <f t="shared" si="37"/>
        <v>0</v>
      </c>
      <c r="AH91" s="103">
        <f t="shared" si="38"/>
        <v>0</v>
      </c>
      <c r="AI91" s="103">
        <f t="shared" si="39"/>
        <v>0</v>
      </c>
      <c r="AJ91" s="103">
        <f t="shared" si="40"/>
        <v>0</v>
      </c>
      <c r="AK91" s="103">
        <f t="shared" si="41"/>
        <v>0</v>
      </c>
      <c r="AL91" s="103">
        <f t="shared" si="42"/>
        <v>0</v>
      </c>
      <c r="AM91" s="103">
        <f t="shared" si="43"/>
        <v>0</v>
      </c>
      <c r="AN91" s="103">
        <f t="shared" si="44"/>
        <v>0</v>
      </c>
      <c r="AO91" s="103">
        <f t="shared" si="45"/>
        <v>0</v>
      </c>
      <c r="AP91" s="103">
        <f t="shared" si="46"/>
        <v>0</v>
      </c>
      <c r="AQ91" s="103">
        <f t="shared" si="47"/>
        <v>0</v>
      </c>
      <c r="AR91" s="103">
        <f t="shared" si="48"/>
        <v>0</v>
      </c>
      <c r="AS91" s="103"/>
      <c r="AT91" s="103">
        <f t="shared" si="35"/>
        <v>0</v>
      </c>
      <c r="AU91" s="103">
        <f t="shared" si="49"/>
        <v>0</v>
      </c>
      <c r="AV91" s="103">
        <f t="shared" si="51"/>
        <v>0</v>
      </c>
      <c r="AW91" s="103">
        <f t="shared" si="52"/>
        <v>0</v>
      </c>
      <c r="AX91" s="103"/>
      <c r="AY91" s="104">
        <f t="shared" si="53"/>
        <v>0</v>
      </c>
      <c r="AZ91" s="104">
        <f t="shared" si="54"/>
        <v>0</v>
      </c>
      <c r="BA91" s="104">
        <f t="shared" si="55"/>
        <v>0</v>
      </c>
      <c r="BB91" s="104">
        <f t="shared" si="56"/>
        <v>0</v>
      </c>
      <c r="BC91" s="104">
        <f t="shared" si="57"/>
        <v>0</v>
      </c>
      <c r="BD91" s="104">
        <f t="shared" si="58"/>
        <v>0</v>
      </c>
      <c r="BE91" s="104">
        <f t="shared" si="59"/>
        <v>0</v>
      </c>
      <c r="BF91" s="104">
        <f t="shared" si="60"/>
        <v>0</v>
      </c>
      <c r="BG91" s="104">
        <f t="shared" si="61"/>
        <v>0</v>
      </c>
      <c r="BH91" s="104">
        <f t="shared" si="62"/>
        <v>0</v>
      </c>
      <c r="BI91" s="104">
        <f t="shared" si="63"/>
        <v>0</v>
      </c>
      <c r="BJ91" s="104">
        <f t="shared" si="64"/>
        <v>0</v>
      </c>
      <c r="BL91" s="104">
        <f t="shared" si="65"/>
        <v>0</v>
      </c>
      <c r="BM91" s="104">
        <f t="shared" si="66"/>
        <v>0</v>
      </c>
      <c r="BN91" s="104">
        <f t="shared" si="67"/>
        <v>0</v>
      </c>
    </row>
    <row r="92" spans="1:66" s="19" customFormat="1" ht="15" customHeight="1" x14ac:dyDescent="0.3">
      <c r="A92" s="105">
        <v>79</v>
      </c>
      <c r="B92" s="108"/>
      <c r="C92" s="85"/>
      <c r="D92" s="106"/>
      <c r="E92" s="107"/>
      <c r="F92" s="113"/>
      <c r="G92" s="114"/>
      <c r="H92" s="107"/>
      <c r="I92" s="107"/>
      <c r="J92" s="107"/>
      <c r="K92" s="107"/>
      <c r="L92" s="13"/>
      <c r="M92" s="13"/>
      <c r="N92" s="13"/>
      <c r="O92" s="13"/>
      <c r="P92" s="13"/>
      <c r="Q92" s="13"/>
      <c r="R92" s="13"/>
      <c r="S92" s="13"/>
      <c r="T92" s="13"/>
      <c r="U92" s="13"/>
      <c r="V92" s="13"/>
      <c r="W92" s="13"/>
      <c r="X92" s="13"/>
      <c r="AE92" s="103">
        <f t="shared" si="50"/>
        <v>0</v>
      </c>
      <c r="AF92" s="103">
        <f t="shared" si="36"/>
        <v>0</v>
      </c>
      <c r="AG92" s="103">
        <f t="shared" si="37"/>
        <v>0</v>
      </c>
      <c r="AH92" s="103">
        <f t="shared" si="38"/>
        <v>0</v>
      </c>
      <c r="AI92" s="103">
        <f t="shared" si="39"/>
        <v>0</v>
      </c>
      <c r="AJ92" s="103">
        <f t="shared" si="40"/>
        <v>0</v>
      </c>
      <c r="AK92" s="103">
        <f t="shared" si="41"/>
        <v>0</v>
      </c>
      <c r="AL92" s="103">
        <f t="shared" si="42"/>
        <v>0</v>
      </c>
      <c r="AM92" s="103">
        <f t="shared" si="43"/>
        <v>0</v>
      </c>
      <c r="AN92" s="103">
        <f t="shared" si="44"/>
        <v>0</v>
      </c>
      <c r="AO92" s="103">
        <f t="shared" si="45"/>
        <v>0</v>
      </c>
      <c r="AP92" s="103">
        <f t="shared" si="46"/>
        <v>0</v>
      </c>
      <c r="AQ92" s="103">
        <f t="shared" si="47"/>
        <v>0</v>
      </c>
      <c r="AR92" s="103">
        <f t="shared" si="48"/>
        <v>0</v>
      </c>
      <c r="AS92" s="103"/>
      <c r="AT92" s="103">
        <f t="shared" si="35"/>
        <v>0</v>
      </c>
      <c r="AU92" s="103">
        <f t="shared" si="49"/>
        <v>0</v>
      </c>
      <c r="AV92" s="103">
        <f t="shared" si="51"/>
        <v>0</v>
      </c>
      <c r="AW92" s="103">
        <f t="shared" si="52"/>
        <v>0</v>
      </c>
      <c r="AX92" s="103"/>
      <c r="AY92" s="104">
        <f t="shared" si="53"/>
        <v>0</v>
      </c>
      <c r="AZ92" s="104">
        <f t="shared" si="54"/>
        <v>0</v>
      </c>
      <c r="BA92" s="104">
        <f t="shared" si="55"/>
        <v>0</v>
      </c>
      <c r="BB92" s="104">
        <f t="shared" si="56"/>
        <v>0</v>
      </c>
      <c r="BC92" s="104">
        <f t="shared" si="57"/>
        <v>0</v>
      </c>
      <c r="BD92" s="104">
        <f t="shared" si="58"/>
        <v>0</v>
      </c>
      <c r="BE92" s="104">
        <f t="shared" si="59"/>
        <v>0</v>
      </c>
      <c r="BF92" s="104">
        <f t="shared" si="60"/>
        <v>0</v>
      </c>
      <c r="BG92" s="104">
        <f t="shared" si="61"/>
        <v>0</v>
      </c>
      <c r="BH92" s="104">
        <f t="shared" si="62"/>
        <v>0</v>
      </c>
      <c r="BI92" s="104">
        <f t="shared" si="63"/>
        <v>0</v>
      </c>
      <c r="BJ92" s="104">
        <f t="shared" si="64"/>
        <v>0</v>
      </c>
      <c r="BL92" s="104">
        <f t="shared" si="65"/>
        <v>0</v>
      </c>
      <c r="BM92" s="104">
        <f t="shared" si="66"/>
        <v>0</v>
      </c>
      <c r="BN92" s="104">
        <f t="shared" si="67"/>
        <v>0</v>
      </c>
    </row>
    <row r="93" spans="1:66" s="19" customFormat="1" ht="15" customHeight="1" x14ac:dyDescent="0.3">
      <c r="A93" s="105">
        <v>80</v>
      </c>
      <c r="B93" s="108"/>
      <c r="C93" s="85"/>
      <c r="D93" s="106"/>
      <c r="E93" s="107"/>
      <c r="F93" s="113"/>
      <c r="G93" s="114"/>
      <c r="H93" s="107"/>
      <c r="I93" s="107"/>
      <c r="J93" s="107"/>
      <c r="K93" s="107"/>
      <c r="L93" s="13"/>
      <c r="M93" s="13"/>
      <c r="N93" s="13"/>
      <c r="O93" s="13"/>
      <c r="P93" s="13"/>
      <c r="Q93" s="13"/>
      <c r="R93" s="13"/>
      <c r="S93" s="13"/>
      <c r="T93" s="13"/>
      <c r="U93" s="13"/>
      <c r="V93" s="13"/>
      <c r="W93" s="13"/>
      <c r="X93" s="13"/>
      <c r="AE93" s="103">
        <f t="shared" si="50"/>
        <v>0</v>
      </c>
      <c r="AF93" s="103">
        <f t="shared" si="36"/>
        <v>0</v>
      </c>
      <c r="AG93" s="103">
        <f t="shared" si="37"/>
        <v>0</v>
      </c>
      <c r="AH93" s="103">
        <f t="shared" si="38"/>
        <v>0</v>
      </c>
      <c r="AI93" s="103">
        <f t="shared" si="39"/>
        <v>0</v>
      </c>
      <c r="AJ93" s="103">
        <f t="shared" si="40"/>
        <v>0</v>
      </c>
      <c r="AK93" s="103">
        <f t="shared" si="41"/>
        <v>0</v>
      </c>
      <c r="AL93" s="103">
        <f t="shared" si="42"/>
        <v>0</v>
      </c>
      <c r="AM93" s="103">
        <f t="shared" si="43"/>
        <v>0</v>
      </c>
      <c r="AN93" s="103">
        <f t="shared" si="44"/>
        <v>0</v>
      </c>
      <c r="AO93" s="103">
        <f t="shared" si="45"/>
        <v>0</v>
      </c>
      <c r="AP93" s="103">
        <f t="shared" si="46"/>
        <v>0</v>
      </c>
      <c r="AQ93" s="103">
        <f t="shared" si="47"/>
        <v>0</v>
      </c>
      <c r="AR93" s="103">
        <f t="shared" si="48"/>
        <v>0</v>
      </c>
      <c r="AS93" s="103"/>
      <c r="AT93" s="103">
        <f t="shared" si="35"/>
        <v>0</v>
      </c>
      <c r="AU93" s="103">
        <f t="shared" si="49"/>
        <v>0</v>
      </c>
      <c r="AV93" s="103">
        <f t="shared" si="51"/>
        <v>0</v>
      </c>
      <c r="AW93" s="103">
        <f t="shared" si="52"/>
        <v>0</v>
      </c>
      <c r="AX93" s="103"/>
      <c r="AY93" s="104">
        <f t="shared" si="53"/>
        <v>0</v>
      </c>
      <c r="AZ93" s="104">
        <f t="shared" si="54"/>
        <v>0</v>
      </c>
      <c r="BA93" s="104">
        <f t="shared" si="55"/>
        <v>0</v>
      </c>
      <c r="BB93" s="104">
        <f t="shared" si="56"/>
        <v>0</v>
      </c>
      <c r="BC93" s="104">
        <f t="shared" si="57"/>
        <v>0</v>
      </c>
      <c r="BD93" s="104">
        <f t="shared" si="58"/>
        <v>0</v>
      </c>
      <c r="BE93" s="104">
        <f t="shared" si="59"/>
        <v>0</v>
      </c>
      <c r="BF93" s="104">
        <f t="shared" si="60"/>
        <v>0</v>
      </c>
      <c r="BG93" s="104">
        <f t="shared" si="61"/>
        <v>0</v>
      </c>
      <c r="BH93" s="104">
        <f t="shared" si="62"/>
        <v>0</v>
      </c>
      <c r="BI93" s="104">
        <f t="shared" si="63"/>
        <v>0</v>
      </c>
      <c r="BJ93" s="104">
        <f t="shared" si="64"/>
        <v>0</v>
      </c>
      <c r="BL93" s="104">
        <f t="shared" si="65"/>
        <v>0</v>
      </c>
      <c r="BM93" s="104">
        <f t="shared" si="66"/>
        <v>0</v>
      </c>
      <c r="BN93" s="104">
        <f t="shared" si="67"/>
        <v>0</v>
      </c>
    </row>
    <row r="94" spans="1:66" s="19" customFormat="1" ht="15" customHeight="1" x14ac:dyDescent="0.3">
      <c r="A94" s="105">
        <v>81</v>
      </c>
      <c r="B94" s="108"/>
      <c r="C94" s="85"/>
      <c r="D94" s="106"/>
      <c r="E94" s="107"/>
      <c r="F94" s="113"/>
      <c r="G94" s="114"/>
      <c r="H94" s="107"/>
      <c r="I94" s="107"/>
      <c r="J94" s="107"/>
      <c r="K94" s="107"/>
      <c r="L94" s="13"/>
      <c r="M94" s="13"/>
      <c r="N94" s="13"/>
      <c r="O94" s="13"/>
      <c r="P94" s="13"/>
      <c r="Q94" s="13"/>
      <c r="R94" s="13"/>
      <c r="S94" s="13"/>
      <c r="T94" s="13"/>
      <c r="U94" s="13"/>
      <c r="V94" s="13"/>
      <c r="W94" s="13"/>
      <c r="X94" s="13"/>
      <c r="AE94" s="103">
        <f t="shared" si="50"/>
        <v>0</v>
      </c>
      <c r="AF94" s="103">
        <f t="shared" si="36"/>
        <v>0</v>
      </c>
      <c r="AG94" s="103">
        <f t="shared" si="37"/>
        <v>0</v>
      </c>
      <c r="AH94" s="103">
        <f t="shared" si="38"/>
        <v>0</v>
      </c>
      <c r="AI94" s="103">
        <f t="shared" si="39"/>
        <v>0</v>
      </c>
      <c r="AJ94" s="103">
        <f t="shared" si="40"/>
        <v>0</v>
      </c>
      <c r="AK94" s="103">
        <f t="shared" si="41"/>
        <v>0</v>
      </c>
      <c r="AL94" s="103">
        <f t="shared" si="42"/>
        <v>0</v>
      </c>
      <c r="AM94" s="103">
        <f t="shared" si="43"/>
        <v>0</v>
      </c>
      <c r="AN94" s="103">
        <f t="shared" si="44"/>
        <v>0</v>
      </c>
      <c r="AO94" s="103">
        <f t="shared" si="45"/>
        <v>0</v>
      </c>
      <c r="AP94" s="103">
        <f t="shared" si="46"/>
        <v>0</v>
      </c>
      <c r="AQ94" s="103">
        <f t="shared" si="47"/>
        <v>0</v>
      </c>
      <c r="AR94" s="103">
        <f t="shared" si="48"/>
        <v>0</v>
      </c>
      <c r="AS94" s="103"/>
      <c r="AT94" s="103">
        <f t="shared" si="35"/>
        <v>0</v>
      </c>
      <c r="AU94" s="103">
        <f t="shared" si="49"/>
        <v>0</v>
      </c>
      <c r="AV94" s="103">
        <f t="shared" si="51"/>
        <v>0</v>
      </c>
      <c r="AW94" s="103">
        <f t="shared" si="52"/>
        <v>0</v>
      </c>
      <c r="AX94" s="103"/>
      <c r="AY94" s="104">
        <f t="shared" si="53"/>
        <v>0</v>
      </c>
      <c r="AZ94" s="104">
        <f t="shared" si="54"/>
        <v>0</v>
      </c>
      <c r="BA94" s="104">
        <f t="shared" si="55"/>
        <v>0</v>
      </c>
      <c r="BB94" s="104">
        <f t="shared" si="56"/>
        <v>0</v>
      </c>
      <c r="BC94" s="104">
        <f t="shared" si="57"/>
        <v>0</v>
      </c>
      <c r="BD94" s="104">
        <f t="shared" si="58"/>
        <v>0</v>
      </c>
      <c r="BE94" s="104">
        <f t="shared" si="59"/>
        <v>0</v>
      </c>
      <c r="BF94" s="104">
        <f t="shared" si="60"/>
        <v>0</v>
      </c>
      <c r="BG94" s="104">
        <f t="shared" si="61"/>
        <v>0</v>
      </c>
      <c r="BH94" s="104">
        <f t="shared" si="62"/>
        <v>0</v>
      </c>
      <c r="BI94" s="104">
        <f t="shared" si="63"/>
        <v>0</v>
      </c>
      <c r="BJ94" s="104">
        <f t="shared" si="64"/>
        <v>0</v>
      </c>
      <c r="BL94" s="104">
        <f t="shared" si="65"/>
        <v>0</v>
      </c>
      <c r="BM94" s="104">
        <f t="shared" si="66"/>
        <v>0</v>
      </c>
      <c r="BN94" s="104">
        <f t="shared" si="67"/>
        <v>0</v>
      </c>
    </row>
    <row r="95" spans="1:66" s="19" customFormat="1" ht="15" customHeight="1" x14ac:dyDescent="0.3">
      <c r="A95" s="105">
        <v>82</v>
      </c>
      <c r="B95" s="108"/>
      <c r="C95" s="85"/>
      <c r="D95" s="106"/>
      <c r="E95" s="107"/>
      <c r="F95" s="113"/>
      <c r="G95" s="114"/>
      <c r="H95" s="107"/>
      <c r="I95" s="107"/>
      <c r="J95" s="107"/>
      <c r="K95" s="107"/>
      <c r="L95" s="13"/>
      <c r="M95" s="13"/>
      <c r="N95" s="13"/>
      <c r="O95" s="13"/>
      <c r="P95" s="13"/>
      <c r="Q95" s="13"/>
      <c r="R95" s="13"/>
      <c r="S95" s="13"/>
      <c r="T95" s="13"/>
      <c r="U95" s="13"/>
      <c r="V95" s="13"/>
      <c r="W95" s="13"/>
      <c r="X95" s="13"/>
      <c r="AE95" s="103">
        <f t="shared" si="50"/>
        <v>0</v>
      </c>
      <c r="AF95" s="103">
        <f t="shared" si="36"/>
        <v>0</v>
      </c>
      <c r="AG95" s="103">
        <f t="shared" si="37"/>
        <v>0</v>
      </c>
      <c r="AH95" s="103">
        <f t="shared" si="38"/>
        <v>0</v>
      </c>
      <c r="AI95" s="103">
        <f t="shared" si="39"/>
        <v>0</v>
      </c>
      <c r="AJ95" s="103">
        <f t="shared" si="40"/>
        <v>0</v>
      </c>
      <c r="AK95" s="103">
        <f t="shared" si="41"/>
        <v>0</v>
      </c>
      <c r="AL95" s="103">
        <f t="shared" si="42"/>
        <v>0</v>
      </c>
      <c r="AM95" s="103">
        <f t="shared" si="43"/>
        <v>0</v>
      </c>
      <c r="AN95" s="103">
        <f t="shared" si="44"/>
        <v>0</v>
      </c>
      <c r="AO95" s="103">
        <f t="shared" si="45"/>
        <v>0</v>
      </c>
      <c r="AP95" s="103">
        <f t="shared" si="46"/>
        <v>0</v>
      </c>
      <c r="AQ95" s="103">
        <f t="shared" si="47"/>
        <v>0</v>
      </c>
      <c r="AR95" s="103">
        <f t="shared" si="48"/>
        <v>0</v>
      </c>
      <c r="AS95" s="103"/>
      <c r="AT95" s="103">
        <f t="shared" si="35"/>
        <v>0</v>
      </c>
      <c r="AU95" s="103">
        <f t="shared" si="49"/>
        <v>0</v>
      </c>
      <c r="AV95" s="103">
        <f t="shared" si="51"/>
        <v>0</v>
      </c>
      <c r="AW95" s="103">
        <f t="shared" si="52"/>
        <v>0</v>
      </c>
      <c r="AX95" s="103"/>
      <c r="AY95" s="104">
        <f t="shared" si="53"/>
        <v>0</v>
      </c>
      <c r="AZ95" s="104">
        <f t="shared" si="54"/>
        <v>0</v>
      </c>
      <c r="BA95" s="104">
        <f t="shared" si="55"/>
        <v>0</v>
      </c>
      <c r="BB95" s="104">
        <f t="shared" si="56"/>
        <v>0</v>
      </c>
      <c r="BC95" s="104">
        <f t="shared" si="57"/>
        <v>0</v>
      </c>
      <c r="BD95" s="104">
        <f t="shared" si="58"/>
        <v>0</v>
      </c>
      <c r="BE95" s="104">
        <f t="shared" si="59"/>
        <v>0</v>
      </c>
      <c r="BF95" s="104">
        <f t="shared" si="60"/>
        <v>0</v>
      </c>
      <c r="BG95" s="104">
        <f t="shared" si="61"/>
        <v>0</v>
      </c>
      <c r="BH95" s="104">
        <f t="shared" si="62"/>
        <v>0</v>
      </c>
      <c r="BI95" s="104">
        <f t="shared" si="63"/>
        <v>0</v>
      </c>
      <c r="BJ95" s="104">
        <f t="shared" si="64"/>
        <v>0</v>
      </c>
      <c r="BL95" s="104">
        <f t="shared" si="65"/>
        <v>0</v>
      </c>
      <c r="BM95" s="104">
        <f t="shared" si="66"/>
        <v>0</v>
      </c>
      <c r="BN95" s="104">
        <f t="shared" si="67"/>
        <v>0</v>
      </c>
    </row>
    <row r="96" spans="1:66" s="19" customFormat="1" ht="15" customHeight="1" x14ac:dyDescent="0.3">
      <c r="A96" s="105">
        <v>83</v>
      </c>
      <c r="B96" s="108"/>
      <c r="C96" s="85"/>
      <c r="D96" s="106"/>
      <c r="E96" s="107"/>
      <c r="F96" s="113"/>
      <c r="G96" s="114"/>
      <c r="H96" s="107"/>
      <c r="I96" s="107"/>
      <c r="J96" s="107"/>
      <c r="K96" s="107"/>
      <c r="L96" s="13"/>
      <c r="M96" s="13"/>
      <c r="N96" s="13"/>
      <c r="O96" s="13"/>
      <c r="P96" s="13"/>
      <c r="Q96" s="13"/>
      <c r="R96" s="13"/>
      <c r="S96" s="13"/>
      <c r="T96" s="13"/>
      <c r="U96" s="13"/>
      <c r="V96" s="13"/>
      <c r="W96" s="13"/>
      <c r="X96" s="13"/>
      <c r="AE96" s="103">
        <f t="shared" si="50"/>
        <v>0</v>
      </c>
      <c r="AF96" s="103">
        <f t="shared" si="36"/>
        <v>0</v>
      </c>
      <c r="AG96" s="103">
        <f t="shared" si="37"/>
        <v>0</v>
      </c>
      <c r="AH96" s="103">
        <f t="shared" si="38"/>
        <v>0</v>
      </c>
      <c r="AI96" s="103">
        <f t="shared" si="39"/>
        <v>0</v>
      </c>
      <c r="AJ96" s="103">
        <f t="shared" si="40"/>
        <v>0</v>
      </c>
      <c r="AK96" s="103">
        <f t="shared" si="41"/>
        <v>0</v>
      </c>
      <c r="AL96" s="103">
        <f t="shared" si="42"/>
        <v>0</v>
      </c>
      <c r="AM96" s="103">
        <f t="shared" si="43"/>
        <v>0</v>
      </c>
      <c r="AN96" s="103">
        <f t="shared" si="44"/>
        <v>0</v>
      </c>
      <c r="AO96" s="103">
        <f t="shared" si="45"/>
        <v>0</v>
      </c>
      <c r="AP96" s="103">
        <f t="shared" si="46"/>
        <v>0</v>
      </c>
      <c r="AQ96" s="103">
        <f t="shared" si="47"/>
        <v>0</v>
      </c>
      <c r="AR96" s="103">
        <f t="shared" si="48"/>
        <v>0</v>
      </c>
      <c r="AS96" s="103"/>
      <c r="AT96" s="103">
        <f t="shared" si="35"/>
        <v>0</v>
      </c>
      <c r="AU96" s="103">
        <f t="shared" si="49"/>
        <v>0</v>
      </c>
      <c r="AV96" s="103">
        <f t="shared" si="51"/>
        <v>0</v>
      </c>
      <c r="AW96" s="103">
        <f t="shared" si="52"/>
        <v>0</v>
      </c>
      <c r="AX96" s="103"/>
      <c r="AY96" s="104">
        <f t="shared" si="53"/>
        <v>0</v>
      </c>
      <c r="AZ96" s="104">
        <f t="shared" si="54"/>
        <v>0</v>
      </c>
      <c r="BA96" s="104">
        <f t="shared" si="55"/>
        <v>0</v>
      </c>
      <c r="BB96" s="104">
        <f t="shared" si="56"/>
        <v>0</v>
      </c>
      <c r="BC96" s="104">
        <f t="shared" si="57"/>
        <v>0</v>
      </c>
      <c r="BD96" s="104">
        <f t="shared" si="58"/>
        <v>0</v>
      </c>
      <c r="BE96" s="104">
        <f t="shared" si="59"/>
        <v>0</v>
      </c>
      <c r="BF96" s="104">
        <f t="shared" si="60"/>
        <v>0</v>
      </c>
      <c r="BG96" s="104">
        <f t="shared" si="61"/>
        <v>0</v>
      </c>
      <c r="BH96" s="104">
        <f t="shared" si="62"/>
        <v>0</v>
      </c>
      <c r="BI96" s="104">
        <f t="shared" si="63"/>
        <v>0</v>
      </c>
      <c r="BJ96" s="104">
        <f t="shared" si="64"/>
        <v>0</v>
      </c>
      <c r="BL96" s="104">
        <f t="shared" si="65"/>
        <v>0</v>
      </c>
      <c r="BM96" s="104">
        <f t="shared" si="66"/>
        <v>0</v>
      </c>
      <c r="BN96" s="104">
        <f t="shared" si="67"/>
        <v>0</v>
      </c>
    </row>
    <row r="97" spans="1:66" s="19" customFormat="1" ht="15" customHeight="1" x14ac:dyDescent="0.3">
      <c r="A97" s="105">
        <v>84</v>
      </c>
      <c r="B97" s="108"/>
      <c r="C97" s="85"/>
      <c r="D97" s="106"/>
      <c r="E97" s="107"/>
      <c r="F97" s="113"/>
      <c r="G97" s="114"/>
      <c r="H97" s="107"/>
      <c r="I97" s="107"/>
      <c r="J97" s="107"/>
      <c r="K97" s="107"/>
      <c r="L97" s="13"/>
      <c r="M97" s="13"/>
      <c r="N97" s="13"/>
      <c r="O97" s="13"/>
      <c r="P97" s="13"/>
      <c r="Q97" s="13"/>
      <c r="R97" s="13"/>
      <c r="S97" s="13"/>
      <c r="T97" s="13"/>
      <c r="U97" s="13"/>
      <c r="V97" s="13"/>
      <c r="W97" s="13"/>
      <c r="X97" s="13"/>
      <c r="AE97" s="103">
        <f t="shared" si="50"/>
        <v>0</v>
      </c>
      <c r="AF97" s="103">
        <f t="shared" si="36"/>
        <v>0</v>
      </c>
      <c r="AG97" s="103">
        <f t="shared" si="37"/>
        <v>0</v>
      </c>
      <c r="AH97" s="103">
        <f t="shared" si="38"/>
        <v>0</v>
      </c>
      <c r="AI97" s="103">
        <f t="shared" si="39"/>
        <v>0</v>
      </c>
      <c r="AJ97" s="103">
        <f t="shared" si="40"/>
        <v>0</v>
      </c>
      <c r="AK97" s="103">
        <f t="shared" si="41"/>
        <v>0</v>
      </c>
      <c r="AL97" s="103">
        <f t="shared" si="42"/>
        <v>0</v>
      </c>
      <c r="AM97" s="103">
        <f t="shared" si="43"/>
        <v>0</v>
      </c>
      <c r="AN97" s="103">
        <f t="shared" si="44"/>
        <v>0</v>
      </c>
      <c r="AO97" s="103">
        <f t="shared" si="45"/>
        <v>0</v>
      </c>
      <c r="AP97" s="103">
        <f t="shared" si="46"/>
        <v>0</v>
      </c>
      <c r="AQ97" s="103">
        <f t="shared" si="47"/>
        <v>0</v>
      </c>
      <c r="AR97" s="103">
        <f t="shared" si="48"/>
        <v>0</v>
      </c>
      <c r="AS97" s="103"/>
      <c r="AT97" s="103">
        <f t="shared" si="35"/>
        <v>0</v>
      </c>
      <c r="AU97" s="103">
        <f t="shared" si="49"/>
        <v>0</v>
      </c>
      <c r="AV97" s="103">
        <f t="shared" si="51"/>
        <v>0</v>
      </c>
      <c r="AW97" s="103">
        <f t="shared" si="52"/>
        <v>0</v>
      </c>
      <c r="AX97" s="103"/>
      <c r="AY97" s="104">
        <f t="shared" si="53"/>
        <v>0</v>
      </c>
      <c r="AZ97" s="104">
        <f t="shared" si="54"/>
        <v>0</v>
      </c>
      <c r="BA97" s="104">
        <f t="shared" si="55"/>
        <v>0</v>
      </c>
      <c r="BB97" s="104">
        <f t="shared" si="56"/>
        <v>0</v>
      </c>
      <c r="BC97" s="104">
        <f t="shared" si="57"/>
        <v>0</v>
      </c>
      <c r="BD97" s="104">
        <f t="shared" si="58"/>
        <v>0</v>
      </c>
      <c r="BE97" s="104">
        <f t="shared" si="59"/>
        <v>0</v>
      </c>
      <c r="BF97" s="104">
        <f t="shared" si="60"/>
        <v>0</v>
      </c>
      <c r="BG97" s="104">
        <f t="shared" si="61"/>
        <v>0</v>
      </c>
      <c r="BH97" s="104">
        <f t="shared" si="62"/>
        <v>0</v>
      </c>
      <c r="BI97" s="104">
        <f t="shared" si="63"/>
        <v>0</v>
      </c>
      <c r="BJ97" s="104">
        <f t="shared" si="64"/>
        <v>0</v>
      </c>
      <c r="BL97" s="104">
        <f t="shared" si="65"/>
        <v>0</v>
      </c>
      <c r="BM97" s="104">
        <f t="shared" si="66"/>
        <v>0</v>
      </c>
      <c r="BN97" s="104">
        <f t="shared" si="67"/>
        <v>0</v>
      </c>
    </row>
    <row r="98" spans="1:66" s="19" customFormat="1" ht="15" customHeight="1" x14ac:dyDescent="0.3">
      <c r="A98" s="105">
        <v>85</v>
      </c>
      <c r="B98" s="108"/>
      <c r="C98" s="85"/>
      <c r="D98" s="106"/>
      <c r="E98" s="107"/>
      <c r="F98" s="113"/>
      <c r="G98" s="114"/>
      <c r="H98" s="107"/>
      <c r="I98" s="107"/>
      <c r="J98" s="107"/>
      <c r="K98" s="107"/>
      <c r="L98" s="13"/>
      <c r="M98" s="13"/>
      <c r="N98" s="13"/>
      <c r="O98" s="13"/>
      <c r="P98" s="13"/>
      <c r="Q98" s="13"/>
      <c r="R98" s="13"/>
      <c r="S98" s="13"/>
      <c r="T98" s="13"/>
      <c r="U98" s="13"/>
      <c r="V98" s="13"/>
      <c r="W98" s="13"/>
      <c r="X98" s="13"/>
      <c r="AE98" s="103">
        <f t="shared" si="50"/>
        <v>0</v>
      </c>
      <c r="AF98" s="103">
        <f t="shared" si="36"/>
        <v>0</v>
      </c>
      <c r="AG98" s="103">
        <f t="shared" si="37"/>
        <v>0</v>
      </c>
      <c r="AH98" s="103">
        <f t="shared" si="38"/>
        <v>0</v>
      </c>
      <c r="AI98" s="103">
        <f t="shared" si="39"/>
        <v>0</v>
      </c>
      <c r="AJ98" s="103">
        <f t="shared" si="40"/>
        <v>0</v>
      </c>
      <c r="AK98" s="103">
        <f t="shared" si="41"/>
        <v>0</v>
      </c>
      <c r="AL98" s="103">
        <f t="shared" si="42"/>
        <v>0</v>
      </c>
      <c r="AM98" s="103">
        <f t="shared" si="43"/>
        <v>0</v>
      </c>
      <c r="AN98" s="103">
        <f t="shared" si="44"/>
        <v>0</v>
      </c>
      <c r="AO98" s="103">
        <f t="shared" si="45"/>
        <v>0</v>
      </c>
      <c r="AP98" s="103">
        <f t="shared" si="46"/>
        <v>0</v>
      </c>
      <c r="AQ98" s="103">
        <f t="shared" si="47"/>
        <v>0</v>
      </c>
      <c r="AR98" s="103">
        <f t="shared" si="48"/>
        <v>0</v>
      </c>
      <c r="AS98" s="103"/>
      <c r="AT98" s="103">
        <f t="shared" si="35"/>
        <v>0</v>
      </c>
      <c r="AU98" s="103">
        <f t="shared" si="49"/>
        <v>0</v>
      </c>
      <c r="AV98" s="103">
        <f t="shared" si="51"/>
        <v>0</v>
      </c>
      <c r="AW98" s="103">
        <f t="shared" si="52"/>
        <v>0</v>
      </c>
      <c r="AX98" s="103"/>
      <c r="AY98" s="104">
        <f t="shared" si="53"/>
        <v>0</v>
      </c>
      <c r="AZ98" s="104">
        <f t="shared" si="54"/>
        <v>0</v>
      </c>
      <c r="BA98" s="104">
        <f t="shared" si="55"/>
        <v>0</v>
      </c>
      <c r="BB98" s="104">
        <f t="shared" si="56"/>
        <v>0</v>
      </c>
      <c r="BC98" s="104">
        <f t="shared" si="57"/>
        <v>0</v>
      </c>
      <c r="BD98" s="104">
        <f t="shared" si="58"/>
        <v>0</v>
      </c>
      <c r="BE98" s="104">
        <f t="shared" si="59"/>
        <v>0</v>
      </c>
      <c r="BF98" s="104">
        <f t="shared" si="60"/>
        <v>0</v>
      </c>
      <c r="BG98" s="104">
        <f t="shared" si="61"/>
        <v>0</v>
      </c>
      <c r="BH98" s="104">
        <f t="shared" si="62"/>
        <v>0</v>
      </c>
      <c r="BI98" s="104">
        <f t="shared" si="63"/>
        <v>0</v>
      </c>
      <c r="BJ98" s="104">
        <f t="shared" si="64"/>
        <v>0</v>
      </c>
      <c r="BL98" s="104">
        <f t="shared" si="65"/>
        <v>0</v>
      </c>
      <c r="BM98" s="104">
        <f t="shared" si="66"/>
        <v>0</v>
      </c>
      <c r="BN98" s="104">
        <f t="shared" si="67"/>
        <v>0</v>
      </c>
    </row>
    <row r="99" spans="1:66" s="19" customFormat="1" ht="15" customHeight="1" x14ac:dyDescent="0.3">
      <c r="A99" s="105">
        <v>86</v>
      </c>
      <c r="B99" s="108"/>
      <c r="C99" s="85"/>
      <c r="D99" s="106"/>
      <c r="E99" s="107"/>
      <c r="F99" s="113"/>
      <c r="G99" s="114"/>
      <c r="H99" s="107"/>
      <c r="I99" s="107"/>
      <c r="J99" s="107"/>
      <c r="K99" s="107"/>
      <c r="L99" s="13"/>
      <c r="M99" s="13"/>
      <c r="N99" s="13"/>
      <c r="O99" s="13"/>
      <c r="P99" s="13"/>
      <c r="Q99" s="13"/>
      <c r="R99" s="13"/>
      <c r="S99" s="13"/>
      <c r="T99" s="13"/>
      <c r="U99" s="13"/>
      <c r="V99" s="13"/>
      <c r="W99" s="13"/>
      <c r="X99" s="13"/>
      <c r="AE99" s="103">
        <f t="shared" si="50"/>
        <v>0</v>
      </c>
      <c r="AF99" s="103">
        <f t="shared" si="36"/>
        <v>0</v>
      </c>
      <c r="AG99" s="103">
        <f t="shared" si="37"/>
        <v>0</v>
      </c>
      <c r="AH99" s="103">
        <f t="shared" si="38"/>
        <v>0</v>
      </c>
      <c r="AI99" s="103">
        <f t="shared" si="39"/>
        <v>0</v>
      </c>
      <c r="AJ99" s="103">
        <f t="shared" si="40"/>
        <v>0</v>
      </c>
      <c r="AK99" s="103">
        <f t="shared" si="41"/>
        <v>0</v>
      </c>
      <c r="AL99" s="103">
        <f t="shared" si="42"/>
        <v>0</v>
      </c>
      <c r="AM99" s="103">
        <f t="shared" si="43"/>
        <v>0</v>
      </c>
      <c r="AN99" s="103">
        <f t="shared" si="44"/>
        <v>0</v>
      </c>
      <c r="AO99" s="103">
        <f t="shared" si="45"/>
        <v>0</v>
      </c>
      <c r="AP99" s="103">
        <f t="shared" si="46"/>
        <v>0</v>
      </c>
      <c r="AQ99" s="103">
        <f t="shared" si="47"/>
        <v>0</v>
      </c>
      <c r="AR99" s="103">
        <f t="shared" si="48"/>
        <v>0</v>
      </c>
      <c r="AS99" s="103"/>
      <c r="AT99" s="103">
        <f t="shared" si="35"/>
        <v>0</v>
      </c>
      <c r="AU99" s="103">
        <f t="shared" si="49"/>
        <v>0</v>
      </c>
      <c r="AV99" s="103">
        <f t="shared" si="51"/>
        <v>0</v>
      </c>
      <c r="AW99" s="103">
        <f t="shared" si="52"/>
        <v>0</v>
      </c>
      <c r="AX99" s="103"/>
      <c r="AY99" s="104">
        <f t="shared" si="53"/>
        <v>0</v>
      </c>
      <c r="AZ99" s="104">
        <f t="shared" si="54"/>
        <v>0</v>
      </c>
      <c r="BA99" s="104">
        <f t="shared" si="55"/>
        <v>0</v>
      </c>
      <c r="BB99" s="104">
        <f t="shared" si="56"/>
        <v>0</v>
      </c>
      <c r="BC99" s="104">
        <f t="shared" si="57"/>
        <v>0</v>
      </c>
      <c r="BD99" s="104">
        <f t="shared" si="58"/>
        <v>0</v>
      </c>
      <c r="BE99" s="104">
        <f t="shared" si="59"/>
        <v>0</v>
      </c>
      <c r="BF99" s="104">
        <f t="shared" si="60"/>
        <v>0</v>
      </c>
      <c r="BG99" s="104">
        <f t="shared" si="61"/>
        <v>0</v>
      </c>
      <c r="BH99" s="104">
        <f t="shared" si="62"/>
        <v>0</v>
      </c>
      <c r="BI99" s="104">
        <f t="shared" si="63"/>
        <v>0</v>
      </c>
      <c r="BJ99" s="104">
        <f t="shared" si="64"/>
        <v>0</v>
      </c>
      <c r="BL99" s="104">
        <f t="shared" si="65"/>
        <v>0</v>
      </c>
      <c r="BM99" s="104">
        <f t="shared" si="66"/>
        <v>0</v>
      </c>
      <c r="BN99" s="104">
        <f t="shared" si="67"/>
        <v>0</v>
      </c>
    </row>
    <row r="100" spans="1:66" s="19" customFormat="1" ht="15" customHeight="1" x14ac:dyDescent="0.3">
      <c r="A100" s="105">
        <v>87</v>
      </c>
      <c r="B100" s="108"/>
      <c r="C100" s="85"/>
      <c r="D100" s="106"/>
      <c r="E100" s="107"/>
      <c r="F100" s="113"/>
      <c r="G100" s="114"/>
      <c r="H100" s="107"/>
      <c r="I100" s="107"/>
      <c r="J100" s="107"/>
      <c r="K100" s="107"/>
      <c r="L100" s="13"/>
      <c r="M100" s="13"/>
      <c r="N100" s="13"/>
      <c r="O100" s="13"/>
      <c r="P100" s="13"/>
      <c r="Q100" s="13"/>
      <c r="R100" s="13"/>
      <c r="S100" s="13"/>
      <c r="T100" s="13"/>
      <c r="U100" s="13"/>
      <c r="V100" s="13"/>
      <c r="W100" s="13"/>
      <c r="X100" s="13"/>
      <c r="AE100" s="103">
        <f t="shared" si="50"/>
        <v>0</v>
      </c>
      <c r="AF100" s="103">
        <f t="shared" si="36"/>
        <v>0</v>
      </c>
      <c r="AG100" s="103">
        <f t="shared" si="37"/>
        <v>0</v>
      </c>
      <c r="AH100" s="103">
        <f t="shared" si="38"/>
        <v>0</v>
      </c>
      <c r="AI100" s="103">
        <f t="shared" si="39"/>
        <v>0</v>
      </c>
      <c r="AJ100" s="103">
        <f t="shared" si="40"/>
        <v>0</v>
      </c>
      <c r="AK100" s="103">
        <f t="shared" si="41"/>
        <v>0</v>
      </c>
      <c r="AL100" s="103">
        <f t="shared" si="42"/>
        <v>0</v>
      </c>
      <c r="AM100" s="103">
        <f t="shared" si="43"/>
        <v>0</v>
      </c>
      <c r="AN100" s="103">
        <f t="shared" si="44"/>
        <v>0</v>
      </c>
      <c r="AO100" s="103">
        <f t="shared" si="45"/>
        <v>0</v>
      </c>
      <c r="AP100" s="103">
        <f t="shared" si="46"/>
        <v>0</v>
      </c>
      <c r="AQ100" s="103">
        <f t="shared" si="47"/>
        <v>0</v>
      </c>
      <c r="AR100" s="103">
        <f t="shared" si="48"/>
        <v>0</v>
      </c>
      <c r="AS100" s="103"/>
      <c r="AT100" s="103">
        <f t="shared" si="35"/>
        <v>0</v>
      </c>
      <c r="AU100" s="103">
        <f t="shared" si="49"/>
        <v>0</v>
      </c>
      <c r="AV100" s="103">
        <f t="shared" si="51"/>
        <v>0</v>
      </c>
      <c r="AW100" s="103">
        <f t="shared" si="52"/>
        <v>0</v>
      </c>
      <c r="AX100" s="103"/>
      <c r="AY100" s="104">
        <f t="shared" si="53"/>
        <v>0</v>
      </c>
      <c r="AZ100" s="104">
        <f t="shared" si="54"/>
        <v>0</v>
      </c>
      <c r="BA100" s="104">
        <f t="shared" si="55"/>
        <v>0</v>
      </c>
      <c r="BB100" s="104">
        <f t="shared" si="56"/>
        <v>0</v>
      </c>
      <c r="BC100" s="104">
        <f t="shared" si="57"/>
        <v>0</v>
      </c>
      <c r="BD100" s="104">
        <f t="shared" si="58"/>
        <v>0</v>
      </c>
      <c r="BE100" s="104">
        <f t="shared" si="59"/>
        <v>0</v>
      </c>
      <c r="BF100" s="104">
        <f t="shared" si="60"/>
        <v>0</v>
      </c>
      <c r="BG100" s="104">
        <f t="shared" si="61"/>
        <v>0</v>
      </c>
      <c r="BH100" s="104">
        <f t="shared" si="62"/>
        <v>0</v>
      </c>
      <c r="BI100" s="104">
        <f t="shared" si="63"/>
        <v>0</v>
      </c>
      <c r="BJ100" s="104">
        <f t="shared" si="64"/>
        <v>0</v>
      </c>
      <c r="BL100" s="104">
        <f t="shared" si="65"/>
        <v>0</v>
      </c>
      <c r="BM100" s="104">
        <f t="shared" si="66"/>
        <v>0</v>
      </c>
      <c r="BN100" s="104">
        <f t="shared" si="67"/>
        <v>0</v>
      </c>
    </row>
    <row r="101" spans="1:66" s="19" customFormat="1" ht="15" customHeight="1" x14ac:dyDescent="0.3">
      <c r="A101" s="105">
        <v>88</v>
      </c>
      <c r="B101" s="108"/>
      <c r="C101" s="85"/>
      <c r="D101" s="106"/>
      <c r="E101" s="107"/>
      <c r="F101" s="113"/>
      <c r="G101" s="114"/>
      <c r="H101" s="107"/>
      <c r="I101" s="107"/>
      <c r="J101" s="107"/>
      <c r="K101" s="107"/>
      <c r="L101" s="13"/>
      <c r="M101" s="13"/>
      <c r="N101" s="13"/>
      <c r="O101" s="13"/>
      <c r="P101" s="13"/>
      <c r="Q101" s="13"/>
      <c r="R101" s="13"/>
      <c r="S101" s="13"/>
      <c r="T101" s="13"/>
      <c r="U101" s="13"/>
      <c r="V101" s="13"/>
      <c r="W101" s="13"/>
      <c r="X101" s="13"/>
      <c r="AE101" s="103">
        <f t="shared" si="50"/>
        <v>0</v>
      </c>
      <c r="AF101" s="103">
        <f t="shared" si="36"/>
        <v>0</v>
      </c>
      <c r="AG101" s="103">
        <f t="shared" si="37"/>
        <v>0</v>
      </c>
      <c r="AH101" s="103">
        <f t="shared" si="38"/>
        <v>0</v>
      </c>
      <c r="AI101" s="103">
        <f t="shared" si="39"/>
        <v>0</v>
      </c>
      <c r="AJ101" s="103">
        <f t="shared" si="40"/>
        <v>0</v>
      </c>
      <c r="AK101" s="103">
        <f t="shared" si="41"/>
        <v>0</v>
      </c>
      <c r="AL101" s="103">
        <f t="shared" si="42"/>
        <v>0</v>
      </c>
      <c r="AM101" s="103">
        <f t="shared" si="43"/>
        <v>0</v>
      </c>
      <c r="AN101" s="103">
        <f t="shared" si="44"/>
        <v>0</v>
      </c>
      <c r="AO101" s="103">
        <f t="shared" si="45"/>
        <v>0</v>
      </c>
      <c r="AP101" s="103">
        <f t="shared" si="46"/>
        <v>0</v>
      </c>
      <c r="AQ101" s="103">
        <f t="shared" si="47"/>
        <v>0</v>
      </c>
      <c r="AR101" s="103">
        <f t="shared" si="48"/>
        <v>0</v>
      </c>
      <c r="AS101" s="103"/>
      <c r="AT101" s="103">
        <f t="shared" si="35"/>
        <v>0</v>
      </c>
      <c r="AU101" s="103">
        <f t="shared" si="49"/>
        <v>0</v>
      </c>
      <c r="AV101" s="103">
        <f t="shared" si="51"/>
        <v>0</v>
      </c>
      <c r="AW101" s="103">
        <f t="shared" si="52"/>
        <v>0</v>
      </c>
      <c r="AX101" s="103"/>
      <c r="AY101" s="104">
        <f t="shared" si="53"/>
        <v>0</v>
      </c>
      <c r="AZ101" s="104">
        <f t="shared" si="54"/>
        <v>0</v>
      </c>
      <c r="BA101" s="104">
        <f t="shared" si="55"/>
        <v>0</v>
      </c>
      <c r="BB101" s="104">
        <f t="shared" si="56"/>
        <v>0</v>
      </c>
      <c r="BC101" s="104">
        <f t="shared" si="57"/>
        <v>0</v>
      </c>
      <c r="BD101" s="104">
        <f t="shared" si="58"/>
        <v>0</v>
      </c>
      <c r="BE101" s="104">
        <f t="shared" si="59"/>
        <v>0</v>
      </c>
      <c r="BF101" s="104">
        <f t="shared" si="60"/>
        <v>0</v>
      </c>
      <c r="BG101" s="104">
        <f t="shared" si="61"/>
        <v>0</v>
      </c>
      <c r="BH101" s="104">
        <f t="shared" si="62"/>
        <v>0</v>
      </c>
      <c r="BI101" s="104">
        <f t="shared" si="63"/>
        <v>0</v>
      </c>
      <c r="BJ101" s="104">
        <f t="shared" si="64"/>
        <v>0</v>
      </c>
      <c r="BL101" s="104">
        <f t="shared" si="65"/>
        <v>0</v>
      </c>
      <c r="BM101" s="104">
        <f t="shared" si="66"/>
        <v>0</v>
      </c>
      <c r="BN101" s="104">
        <f t="shared" si="67"/>
        <v>0</v>
      </c>
    </row>
    <row r="102" spans="1:66" s="19" customFormat="1" ht="15" customHeight="1" x14ac:dyDescent="0.3">
      <c r="A102" s="105">
        <v>89</v>
      </c>
      <c r="B102" s="108"/>
      <c r="C102" s="85"/>
      <c r="D102" s="106"/>
      <c r="E102" s="107"/>
      <c r="F102" s="113"/>
      <c r="G102" s="114"/>
      <c r="H102" s="107"/>
      <c r="I102" s="107"/>
      <c r="J102" s="107"/>
      <c r="K102" s="107"/>
      <c r="L102" s="13"/>
      <c r="M102" s="13"/>
      <c r="N102" s="13"/>
      <c r="O102" s="13"/>
      <c r="P102" s="13"/>
      <c r="Q102" s="13"/>
      <c r="R102" s="13"/>
      <c r="S102" s="13"/>
      <c r="T102" s="13"/>
      <c r="U102" s="13"/>
      <c r="V102" s="13"/>
      <c r="W102" s="13"/>
      <c r="X102" s="13"/>
      <c r="AE102" s="103">
        <f t="shared" si="50"/>
        <v>0</v>
      </c>
      <c r="AF102" s="103">
        <f t="shared" si="36"/>
        <v>0</v>
      </c>
      <c r="AG102" s="103">
        <f t="shared" si="37"/>
        <v>0</v>
      </c>
      <c r="AH102" s="103">
        <f t="shared" si="38"/>
        <v>0</v>
      </c>
      <c r="AI102" s="103">
        <f t="shared" si="39"/>
        <v>0</v>
      </c>
      <c r="AJ102" s="103">
        <f t="shared" si="40"/>
        <v>0</v>
      </c>
      <c r="AK102" s="103">
        <f t="shared" si="41"/>
        <v>0</v>
      </c>
      <c r="AL102" s="103">
        <f t="shared" si="42"/>
        <v>0</v>
      </c>
      <c r="AM102" s="103">
        <f t="shared" si="43"/>
        <v>0</v>
      </c>
      <c r="AN102" s="103">
        <f t="shared" si="44"/>
        <v>0</v>
      </c>
      <c r="AO102" s="103">
        <f t="shared" si="45"/>
        <v>0</v>
      </c>
      <c r="AP102" s="103">
        <f t="shared" si="46"/>
        <v>0</v>
      </c>
      <c r="AQ102" s="103">
        <f t="shared" si="47"/>
        <v>0</v>
      </c>
      <c r="AR102" s="103">
        <f t="shared" si="48"/>
        <v>0</v>
      </c>
      <c r="AS102" s="103"/>
      <c r="AT102" s="103">
        <f t="shared" si="35"/>
        <v>0</v>
      </c>
      <c r="AU102" s="103">
        <f t="shared" si="49"/>
        <v>0</v>
      </c>
      <c r="AV102" s="103">
        <f t="shared" si="51"/>
        <v>0</v>
      </c>
      <c r="AW102" s="103">
        <f t="shared" si="52"/>
        <v>0</v>
      </c>
      <c r="AX102" s="103"/>
      <c r="AY102" s="104">
        <f t="shared" si="53"/>
        <v>0</v>
      </c>
      <c r="AZ102" s="104">
        <f t="shared" si="54"/>
        <v>0</v>
      </c>
      <c r="BA102" s="104">
        <f t="shared" si="55"/>
        <v>0</v>
      </c>
      <c r="BB102" s="104">
        <f t="shared" si="56"/>
        <v>0</v>
      </c>
      <c r="BC102" s="104">
        <f t="shared" si="57"/>
        <v>0</v>
      </c>
      <c r="BD102" s="104">
        <f t="shared" si="58"/>
        <v>0</v>
      </c>
      <c r="BE102" s="104">
        <f t="shared" si="59"/>
        <v>0</v>
      </c>
      <c r="BF102" s="104">
        <f t="shared" si="60"/>
        <v>0</v>
      </c>
      <c r="BG102" s="104">
        <f t="shared" si="61"/>
        <v>0</v>
      </c>
      <c r="BH102" s="104">
        <f t="shared" si="62"/>
        <v>0</v>
      </c>
      <c r="BI102" s="104">
        <f t="shared" si="63"/>
        <v>0</v>
      </c>
      <c r="BJ102" s="104">
        <f t="shared" si="64"/>
        <v>0</v>
      </c>
      <c r="BL102" s="104">
        <f t="shared" si="65"/>
        <v>0</v>
      </c>
      <c r="BM102" s="104">
        <f t="shared" si="66"/>
        <v>0</v>
      </c>
      <c r="BN102" s="104">
        <f t="shared" si="67"/>
        <v>0</v>
      </c>
    </row>
    <row r="103" spans="1:66" s="19" customFormat="1" ht="15" customHeight="1" x14ac:dyDescent="0.3">
      <c r="A103" s="105">
        <v>90</v>
      </c>
      <c r="B103" s="108"/>
      <c r="C103" s="85"/>
      <c r="D103" s="106"/>
      <c r="E103" s="107"/>
      <c r="F103" s="113"/>
      <c r="G103" s="114"/>
      <c r="H103" s="107"/>
      <c r="I103" s="107"/>
      <c r="J103" s="107"/>
      <c r="K103" s="107"/>
      <c r="L103" s="13"/>
      <c r="M103" s="13"/>
      <c r="N103" s="13"/>
      <c r="O103" s="13"/>
      <c r="P103" s="13"/>
      <c r="Q103" s="13"/>
      <c r="R103" s="13"/>
      <c r="S103" s="13"/>
      <c r="T103" s="13"/>
      <c r="U103" s="13"/>
      <c r="V103" s="13"/>
      <c r="W103" s="13"/>
      <c r="X103" s="13"/>
      <c r="AE103" s="103">
        <f t="shared" si="50"/>
        <v>0</v>
      </c>
      <c r="AF103" s="103">
        <f t="shared" si="36"/>
        <v>0</v>
      </c>
      <c r="AG103" s="103">
        <f t="shared" si="37"/>
        <v>0</v>
      </c>
      <c r="AH103" s="103">
        <f t="shared" si="38"/>
        <v>0</v>
      </c>
      <c r="AI103" s="103">
        <f t="shared" si="39"/>
        <v>0</v>
      </c>
      <c r="AJ103" s="103">
        <f t="shared" si="40"/>
        <v>0</v>
      </c>
      <c r="AK103" s="103">
        <f t="shared" si="41"/>
        <v>0</v>
      </c>
      <c r="AL103" s="103">
        <f t="shared" si="42"/>
        <v>0</v>
      </c>
      <c r="AM103" s="103">
        <f t="shared" si="43"/>
        <v>0</v>
      </c>
      <c r="AN103" s="103">
        <f t="shared" si="44"/>
        <v>0</v>
      </c>
      <c r="AO103" s="103">
        <f t="shared" si="45"/>
        <v>0</v>
      </c>
      <c r="AP103" s="103">
        <f t="shared" si="46"/>
        <v>0</v>
      </c>
      <c r="AQ103" s="103">
        <f t="shared" si="47"/>
        <v>0</v>
      </c>
      <c r="AR103" s="103">
        <f t="shared" si="48"/>
        <v>0</v>
      </c>
      <c r="AS103" s="103"/>
      <c r="AT103" s="103">
        <f t="shared" si="35"/>
        <v>0</v>
      </c>
      <c r="AU103" s="103">
        <f t="shared" si="49"/>
        <v>0</v>
      </c>
      <c r="AV103" s="103">
        <f t="shared" si="51"/>
        <v>0</v>
      </c>
      <c r="AW103" s="103">
        <f t="shared" si="52"/>
        <v>0</v>
      </c>
      <c r="AX103" s="103"/>
      <c r="AY103" s="104">
        <f t="shared" si="53"/>
        <v>0</v>
      </c>
      <c r="AZ103" s="104">
        <f t="shared" si="54"/>
        <v>0</v>
      </c>
      <c r="BA103" s="104">
        <f t="shared" si="55"/>
        <v>0</v>
      </c>
      <c r="BB103" s="104">
        <f t="shared" si="56"/>
        <v>0</v>
      </c>
      <c r="BC103" s="104">
        <f t="shared" si="57"/>
        <v>0</v>
      </c>
      <c r="BD103" s="104">
        <f t="shared" si="58"/>
        <v>0</v>
      </c>
      <c r="BE103" s="104">
        <f t="shared" si="59"/>
        <v>0</v>
      </c>
      <c r="BF103" s="104">
        <f t="shared" si="60"/>
        <v>0</v>
      </c>
      <c r="BG103" s="104">
        <f t="shared" si="61"/>
        <v>0</v>
      </c>
      <c r="BH103" s="104">
        <f t="shared" si="62"/>
        <v>0</v>
      </c>
      <c r="BI103" s="104">
        <f t="shared" si="63"/>
        <v>0</v>
      </c>
      <c r="BJ103" s="104">
        <f t="shared" si="64"/>
        <v>0</v>
      </c>
      <c r="BL103" s="104">
        <f t="shared" si="65"/>
        <v>0</v>
      </c>
      <c r="BM103" s="104">
        <f t="shared" si="66"/>
        <v>0</v>
      </c>
      <c r="BN103" s="104">
        <f t="shared" si="67"/>
        <v>0</v>
      </c>
    </row>
    <row r="104" spans="1:66" s="19" customFormat="1" ht="15" customHeight="1" x14ac:dyDescent="0.3">
      <c r="A104" s="105">
        <v>91</v>
      </c>
      <c r="B104" s="108"/>
      <c r="C104" s="85"/>
      <c r="D104" s="106"/>
      <c r="E104" s="107"/>
      <c r="F104" s="113"/>
      <c r="G104" s="114"/>
      <c r="H104" s="107"/>
      <c r="I104" s="107"/>
      <c r="J104" s="107"/>
      <c r="K104" s="107"/>
      <c r="L104" s="13"/>
      <c r="M104" s="13"/>
      <c r="N104" s="13"/>
      <c r="O104" s="13"/>
      <c r="P104" s="13"/>
      <c r="Q104" s="13"/>
      <c r="R104" s="13"/>
      <c r="S104" s="13"/>
      <c r="T104" s="13"/>
      <c r="U104" s="13"/>
      <c r="V104" s="13"/>
      <c r="W104" s="13"/>
      <c r="X104" s="13"/>
      <c r="AE104" s="103">
        <f t="shared" si="50"/>
        <v>0</v>
      </c>
      <c r="AF104" s="103">
        <f t="shared" si="36"/>
        <v>0</v>
      </c>
      <c r="AG104" s="103">
        <f t="shared" si="37"/>
        <v>0</v>
      </c>
      <c r="AH104" s="103">
        <f t="shared" si="38"/>
        <v>0</v>
      </c>
      <c r="AI104" s="103">
        <f t="shared" si="39"/>
        <v>0</v>
      </c>
      <c r="AJ104" s="103">
        <f t="shared" si="40"/>
        <v>0</v>
      </c>
      <c r="AK104" s="103">
        <f t="shared" si="41"/>
        <v>0</v>
      </c>
      <c r="AL104" s="103">
        <f t="shared" si="42"/>
        <v>0</v>
      </c>
      <c r="AM104" s="103">
        <f t="shared" si="43"/>
        <v>0</v>
      </c>
      <c r="AN104" s="103">
        <f t="shared" si="44"/>
        <v>0</v>
      </c>
      <c r="AO104" s="103">
        <f t="shared" si="45"/>
        <v>0</v>
      </c>
      <c r="AP104" s="103">
        <f t="shared" si="46"/>
        <v>0</v>
      </c>
      <c r="AQ104" s="103">
        <f t="shared" si="47"/>
        <v>0</v>
      </c>
      <c r="AR104" s="103">
        <f t="shared" si="48"/>
        <v>0</v>
      </c>
      <c r="AS104" s="103"/>
      <c r="AT104" s="103">
        <f t="shared" si="35"/>
        <v>0</v>
      </c>
      <c r="AU104" s="103">
        <f t="shared" si="49"/>
        <v>0</v>
      </c>
      <c r="AV104" s="103">
        <f t="shared" si="51"/>
        <v>0</v>
      </c>
      <c r="AW104" s="103">
        <f t="shared" si="52"/>
        <v>0</v>
      </c>
      <c r="AX104" s="103"/>
      <c r="AY104" s="104">
        <f t="shared" si="53"/>
        <v>0</v>
      </c>
      <c r="AZ104" s="104">
        <f t="shared" si="54"/>
        <v>0</v>
      </c>
      <c r="BA104" s="104">
        <f t="shared" si="55"/>
        <v>0</v>
      </c>
      <c r="BB104" s="104">
        <f t="shared" si="56"/>
        <v>0</v>
      </c>
      <c r="BC104" s="104">
        <f t="shared" si="57"/>
        <v>0</v>
      </c>
      <c r="BD104" s="104">
        <f t="shared" si="58"/>
        <v>0</v>
      </c>
      <c r="BE104" s="104">
        <f t="shared" si="59"/>
        <v>0</v>
      </c>
      <c r="BF104" s="104">
        <f t="shared" si="60"/>
        <v>0</v>
      </c>
      <c r="BG104" s="104">
        <f t="shared" si="61"/>
        <v>0</v>
      </c>
      <c r="BH104" s="104">
        <f t="shared" si="62"/>
        <v>0</v>
      </c>
      <c r="BI104" s="104">
        <f t="shared" si="63"/>
        <v>0</v>
      </c>
      <c r="BJ104" s="104">
        <f t="shared" si="64"/>
        <v>0</v>
      </c>
      <c r="BL104" s="104">
        <f t="shared" si="65"/>
        <v>0</v>
      </c>
      <c r="BM104" s="104">
        <f t="shared" si="66"/>
        <v>0</v>
      </c>
      <c r="BN104" s="104">
        <f t="shared" si="67"/>
        <v>0</v>
      </c>
    </row>
    <row r="105" spans="1:66" s="19" customFormat="1" ht="15" customHeight="1" x14ac:dyDescent="0.3">
      <c r="A105" s="105">
        <v>92</v>
      </c>
      <c r="B105" s="108"/>
      <c r="C105" s="85"/>
      <c r="D105" s="106"/>
      <c r="E105" s="107"/>
      <c r="F105" s="113"/>
      <c r="G105" s="114"/>
      <c r="H105" s="107"/>
      <c r="I105" s="107"/>
      <c r="J105" s="107"/>
      <c r="K105" s="107"/>
      <c r="L105" s="13"/>
      <c r="M105" s="13"/>
      <c r="N105" s="13"/>
      <c r="O105" s="13"/>
      <c r="P105" s="13"/>
      <c r="Q105" s="13"/>
      <c r="R105" s="13"/>
      <c r="S105" s="13"/>
      <c r="T105" s="13"/>
      <c r="U105" s="13"/>
      <c r="V105" s="13"/>
      <c r="W105" s="13"/>
      <c r="X105" s="13"/>
      <c r="AE105" s="103">
        <f t="shared" si="50"/>
        <v>0</v>
      </c>
      <c r="AF105" s="103">
        <f t="shared" si="36"/>
        <v>0</v>
      </c>
      <c r="AG105" s="103">
        <f t="shared" si="37"/>
        <v>0</v>
      </c>
      <c r="AH105" s="103">
        <f t="shared" si="38"/>
        <v>0</v>
      </c>
      <c r="AI105" s="103">
        <f t="shared" si="39"/>
        <v>0</v>
      </c>
      <c r="AJ105" s="103">
        <f t="shared" si="40"/>
        <v>0</v>
      </c>
      <c r="AK105" s="103">
        <f t="shared" si="41"/>
        <v>0</v>
      </c>
      <c r="AL105" s="103">
        <f t="shared" si="42"/>
        <v>0</v>
      </c>
      <c r="AM105" s="103">
        <f t="shared" si="43"/>
        <v>0</v>
      </c>
      <c r="AN105" s="103">
        <f t="shared" si="44"/>
        <v>0</v>
      </c>
      <c r="AO105" s="103">
        <f t="shared" si="45"/>
        <v>0</v>
      </c>
      <c r="AP105" s="103">
        <f t="shared" si="46"/>
        <v>0</v>
      </c>
      <c r="AQ105" s="103">
        <f t="shared" si="47"/>
        <v>0</v>
      </c>
      <c r="AR105" s="103">
        <f t="shared" si="48"/>
        <v>0</v>
      </c>
      <c r="AS105" s="103"/>
      <c r="AT105" s="103">
        <f t="shared" si="35"/>
        <v>0</v>
      </c>
      <c r="AU105" s="103">
        <f t="shared" si="49"/>
        <v>0</v>
      </c>
      <c r="AV105" s="103">
        <f t="shared" si="51"/>
        <v>0</v>
      </c>
      <c r="AW105" s="103">
        <f t="shared" si="52"/>
        <v>0</v>
      </c>
      <c r="AX105" s="103"/>
      <c r="AY105" s="104">
        <f t="shared" si="53"/>
        <v>0</v>
      </c>
      <c r="AZ105" s="104">
        <f t="shared" si="54"/>
        <v>0</v>
      </c>
      <c r="BA105" s="104">
        <f t="shared" si="55"/>
        <v>0</v>
      </c>
      <c r="BB105" s="104">
        <f t="shared" si="56"/>
        <v>0</v>
      </c>
      <c r="BC105" s="104">
        <f t="shared" si="57"/>
        <v>0</v>
      </c>
      <c r="BD105" s="104">
        <f t="shared" si="58"/>
        <v>0</v>
      </c>
      <c r="BE105" s="104">
        <f t="shared" si="59"/>
        <v>0</v>
      </c>
      <c r="BF105" s="104">
        <f t="shared" si="60"/>
        <v>0</v>
      </c>
      <c r="BG105" s="104">
        <f t="shared" si="61"/>
        <v>0</v>
      </c>
      <c r="BH105" s="104">
        <f t="shared" si="62"/>
        <v>0</v>
      </c>
      <c r="BI105" s="104">
        <f t="shared" si="63"/>
        <v>0</v>
      </c>
      <c r="BJ105" s="104">
        <f t="shared" si="64"/>
        <v>0</v>
      </c>
      <c r="BL105" s="104">
        <f t="shared" si="65"/>
        <v>0</v>
      </c>
      <c r="BM105" s="104">
        <f t="shared" si="66"/>
        <v>0</v>
      </c>
      <c r="BN105" s="104">
        <f t="shared" si="67"/>
        <v>0</v>
      </c>
    </row>
    <row r="106" spans="1:66" s="19" customFormat="1" ht="15" customHeight="1" x14ac:dyDescent="0.3">
      <c r="A106" s="105">
        <v>93</v>
      </c>
      <c r="B106" s="108"/>
      <c r="C106" s="85"/>
      <c r="D106" s="106"/>
      <c r="E106" s="107"/>
      <c r="F106" s="113"/>
      <c r="G106" s="114"/>
      <c r="H106" s="107"/>
      <c r="I106" s="107"/>
      <c r="J106" s="107"/>
      <c r="K106" s="107"/>
      <c r="L106" s="13"/>
      <c r="M106" s="13"/>
      <c r="N106" s="13"/>
      <c r="O106" s="13"/>
      <c r="P106" s="13"/>
      <c r="Q106" s="13"/>
      <c r="R106" s="13"/>
      <c r="S106" s="13"/>
      <c r="T106" s="13"/>
      <c r="U106" s="13"/>
      <c r="V106" s="13"/>
      <c r="W106" s="13"/>
      <c r="X106" s="13"/>
      <c r="AE106" s="103">
        <f t="shared" si="50"/>
        <v>0</v>
      </c>
      <c r="AF106" s="103">
        <f t="shared" si="36"/>
        <v>0</v>
      </c>
      <c r="AG106" s="103">
        <f t="shared" si="37"/>
        <v>0</v>
      </c>
      <c r="AH106" s="103">
        <f t="shared" si="38"/>
        <v>0</v>
      </c>
      <c r="AI106" s="103">
        <f t="shared" si="39"/>
        <v>0</v>
      </c>
      <c r="AJ106" s="103">
        <f t="shared" si="40"/>
        <v>0</v>
      </c>
      <c r="AK106" s="103">
        <f t="shared" si="41"/>
        <v>0</v>
      </c>
      <c r="AL106" s="103">
        <f t="shared" si="42"/>
        <v>0</v>
      </c>
      <c r="AM106" s="103">
        <f t="shared" si="43"/>
        <v>0</v>
      </c>
      <c r="AN106" s="103">
        <f t="shared" si="44"/>
        <v>0</v>
      </c>
      <c r="AO106" s="103">
        <f t="shared" si="45"/>
        <v>0</v>
      </c>
      <c r="AP106" s="103">
        <f t="shared" si="46"/>
        <v>0</v>
      </c>
      <c r="AQ106" s="103">
        <f t="shared" si="47"/>
        <v>0</v>
      </c>
      <c r="AR106" s="103">
        <f t="shared" si="48"/>
        <v>0</v>
      </c>
      <c r="AS106" s="103"/>
      <c r="AT106" s="103">
        <f t="shared" si="35"/>
        <v>0</v>
      </c>
      <c r="AU106" s="103">
        <f t="shared" si="49"/>
        <v>0</v>
      </c>
      <c r="AV106" s="103">
        <f t="shared" si="51"/>
        <v>0</v>
      </c>
      <c r="AW106" s="103">
        <f t="shared" si="52"/>
        <v>0</v>
      </c>
      <c r="AX106" s="103"/>
      <c r="AY106" s="104">
        <f t="shared" si="53"/>
        <v>0</v>
      </c>
      <c r="AZ106" s="104">
        <f t="shared" si="54"/>
        <v>0</v>
      </c>
      <c r="BA106" s="104">
        <f t="shared" si="55"/>
        <v>0</v>
      </c>
      <c r="BB106" s="104">
        <f t="shared" si="56"/>
        <v>0</v>
      </c>
      <c r="BC106" s="104">
        <f t="shared" si="57"/>
        <v>0</v>
      </c>
      <c r="BD106" s="104">
        <f t="shared" si="58"/>
        <v>0</v>
      </c>
      <c r="BE106" s="104">
        <f t="shared" si="59"/>
        <v>0</v>
      </c>
      <c r="BF106" s="104">
        <f t="shared" si="60"/>
        <v>0</v>
      </c>
      <c r="BG106" s="104">
        <f t="shared" si="61"/>
        <v>0</v>
      </c>
      <c r="BH106" s="104">
        <f t="shared" si="62"/>
        <v>0</v>
      </c>
      <c r="BI106" s="104">
        <f t="shared" si="63"/>
        <v>0</v>
      </c>
      <c r="BJ106" s="104">
        <f t="shared" si="64"/>
        <v>0</v>
      </c>
      <c r="BL106" s="104">
        <f t="shared" si="65"/>
        <v>0</v>
      </c>
      <c r="BM106" s="104">
        <f t="shared" si="66"/>
        <v>0</v>
      </c>
      <c r="BN106" s="104">
        <f t="shared" si="67"/>
        <v>0</v>
      </c>
    </row>
    <row r="107" spans="1:66" s="19" customFormat="1" ht="15" customHeight="1" x14ac:dyDescent="0.3">
      <c r="A107" s="105">
        <v>94</v>
      </c>
      <c r="B107" s="108"/>
      <c r="C107" s="85"/>
      <c r="D107" s="106"/>
      <c r="E107" s="107"/>
      <c r="F107" s="113"/>
      <c r="G107" s="114"/>
      <c r="H107" s="107"/>
      <c r="I107" s="107"/>
      <c r="J107" s="107"/>
      <c r="K107" s="107"/>
      <c r="L107" s="13"/>
      <c r="M107" s="13"/>
      <c r="N107" s="13"/>
      <c r="O107" s="13"/>
      <c r="P107" s="13"/>
      <c r="Q107" s="13"/>
      <c r="R107" s="13"/>
      <c r="S107" s="13"/>
      <c r="T107" s="13"/>
      <c r="U107" s="13"/>
      <c r="V107" s="13"/>
      <c r="W107" s="13"/>
      <c r="X107" s="13"/>
      <c r="AE107" s="103">
        <f t="shared" si="50"/>
        <v>0</v>
      </c>
      <c r="AF107" s="103">
        <f t="shared" si="36"/>
        <v>0</v>
      </c>
      <c r="AG107" s="103">
        <f t="shared" si="37"/>
        <v>0</v>
      </c>
      <c r="AH107" s="103">
        <f t="shared" si="38"/>
        <v>0</v>
      </c>
      <c r="AI107" s="103">
        <f t="shared" si="39"/>
        <v>0</v>
      </c>
      <c r="AJ107" s="103">
        <f t="shared" si="40"/>
        <v>0</v>
      </c>
      <c r="AK107" s="103">
        <f t="shared" si="41"/>
        <v>0</v>
      </c>
      <c r="AL107" s="103">
        <f t="shared" si="42"/>
        <v>0</v>
      </c>
      <c r="AM107" s="103">
        <f t="shared" si="43"/>
        <v>0</v>
      </c>
      <c r="AN107" s="103">
        <f t="shared" si="44"/>
        <v>0</v>
      </c>
      <c r="AO107" s="103">
        <f t="shared" si="45"/>
        <v>0</v>
      </c>
      <c r="AP107" s="103">
        <f t="shared" si="46"/>
        <v>0</v>
      </c>
      <c r="AQ107" s="103">
        <f t="shared" si="47"/>
        <v>0</v>
      </c>
      <c r="AR107" s="103">
        <f t="shared" si="48"/>
        <v>0</v>
      </c>
      <c r="AS107" s="103"/>
      <c r="AT107" s="103">
        <f t="shared" si="35"/>
        <v>0</v>
      </c>
      <c r="AU107" s="103">
        <f t="shared" si="49"/>
        <v>0</v>
      </c>
      <c r="AV107" s="103">
        <f t="shared" si="51"/>
        <v>0</v>
      </c>
      <c r="AW107" s="103">
        <f t="shared" si="52"/>
        <v>0</v>
      </c>
      <c r="AX107" s="103"/>
      <c r="AY107" s="104">
        <f t="shared" si="53"/>
        <v>0</v>
      </c>
      <c r="AZ107" s="104">
        <f t="shared" si="54"/>
        <v>0</v>
      </c>
      <c r="BA107" s="104">
        <f t="shared" si="55"/>
        <v>0</v>
      </c>
      <c r="BB107" s="104">
        <f t="shared" si="56"/>
        <v>0</v>
      </c>
      <c r="BC107" s="104">
        <f t="shared" si="57"/>
        <v>0</v>
      </c>
      <c r="BD107" s="104">
        <f t="shared" si="58"/>
        <v>0</v>
      </c>
      <c r="BE107" s="104">
        <f t="shared" si="59"/>
        <v>0</v>
      </c>
      <c r="BF107" s="104">
        <f t="shared" si="60"/>
        <v>0</v>
      </c>
      <c r="BG107" s="104">
        <f t="shared" si="61"/>
        <v>0</v>
      </c>
      <c r="BH107" s="104">
        <f t="shared" si="62"/>
        <v>0</v>
      </c>
      <c r="BI107" s="104">
        <f t="shared" si="63"/>
        <v>0</v>
      </c>
      <c r="BJ107" s="104">
        <f t="shared" si="64"/>
        <v>0</v>
      </c>
      <c r="BL107" s="104">
        <f t="shared" si="65"/>
        <v>0</v>
      </c>
      <c r="BM107" s="104">
        <f t="shared" si="66"/>
        <v>0</v>
      </c>
      <c r="BN107" s="104">
        <f t="shared" si="67"/>
        <v>0</v>
      </c>
    </row>
    <row r="108" spans="1:66" s="19" customFormat="1" ht="15" customHeight="1" x14ac:dyDescent="0.3">
      <c r="A108" s="105">
        <v>95</v>
      </c>
      <c r="B108" s="108"/>
      <c r="C108" s="85"/>
      <c r="D108" s="106"/>
      <c r="E108" s="107"/>
      <c r="F108" s="113"/>
      <c r="G108" s="114"/>
      <c r="H108" s="107"/>
      <c r="I108" s="107"/>
      <c r="J108" s="107"/>
      <c r="K108" s="107"/>
      <c r="M108" s="13"/>
      <c r="N108" s="13"/>
      <c r="O108" s="13"/>
      <c r="P108" s="13"/>
      <c r="Q108" s="13"/>
      <c r="R108" s="13"/>
      <c r="S108" s="13"/>
      <c r="T108" s="13"/>
      <c r="U108" s="13"/>
      <c r="V108" s="13"/>
      <c r="W108" s="13"/>
      <c r="X108" s="13"/>
      <c r="AE108" s="103">
        <f t="shared" si="50"/>
        <v>0</v>
      </c>
      <c r="AF108" s="103">
        <f t="shared" si="36"/>
        <v>0</v>
      </c>
      <c r="AG108" s="103">
        <f t="shared" si="37"/>
        <v>0</v>
      </c>
      <c r="AH108" s="103">
        <f t="shared" si="38"/>
        <v>0</v>
      </c>
      <c r="AI108" s="103">
        <f t="shared" si="39"/>
        <v>0</v>
      </c>
      <c r="AJ108" s="103">
        <f t="shared" si="40"/>
        <v>0</v>
      </c>
      <c r="AK108" s="103">
        <f t="shared" si="41"/>
        <v>0</v>
      </c>
      <c r="AL108" s="103">
        <f t="shared" si="42"/>
        <v>0</v>
      </c>
      <c r="AM108" s="103">
        <f t="shared" si="43"/>
        <v>0</v>
      </c>
      <c r="AN108" s="103">
        <f t="shared" si="44"/>
        <v>0</v>
      </c>
      <c r="AO108" s="103">
        <f t="shared" si="45"/>
        <v>0</v>
      </c>
      <c r="AP108" s="103">
        <f t="shared" si="46"/>
        <v>0</v>
      </c>
      <c r="AQ108" s="103">
        <f t="shared" si="47"/>
        <v>0</v>
      </c>
      <c r="AR108" s="103">
        <f t="shared" si="48"/>
        <v>0</v>
      </c>
      <c r="AS108" s="103"/>
      <c r="AT108" s="103">
        <f t="shared" si="35"/>
        <v>0</v>
      </c>
      <c r="AU108" s="103">
        <f t="shared" si="49"/>
        <v>0</v>
      </c>
      <c r="AV108" s="103">
        <f t="shared" si="51"/>
        <v>0</v>
      </c>
      <c r="AW108" s="103">
        <f t="shared" si="52"/>
        <v>0</v>
      </c>
      <c r="AX108" s="103"/>
      <c r="AY108" s="104">
        <f t="shared" si="53"/>
        <v>0</v>
      </c>
      <c r="AZ108" s="104">
        <f t="shared" si="54"/>
        <v>0</v>
      </c>
      <c r="BA108" s="104">
        <f t="shared" si="55"/>
        <v>0</v>
      </c>
      <c r="BB108" s="104">
        <f t="shared" si="56"/>
        <v>0</v>
      </c>
      <c r="BC108" s="104">
        <f t="shared" si="57"/>
        <v>0</v>
      </c>
      <c r="BD108" s="104">
        <f t="shared" si="58"/>
        <v>0</v>
      </c>
      <c r="BE108" s="104">
        <f t="shared" si="59"/>
        <v>0</v>
      </c>
      <c r="BF108" s="104">
        <f t="shared" si="60"/>
        <v>0</v>
      </c>
      <c r="BG108" s="104">
        <f t="shared" si="61"/>
        <v>0</v>
      </c>
      <c r="BH108" s="104">
        <f t="shared" si="62"/>
        <v>0</v>
      </c>
      <c r="BI108" s="104">
        <f t="shared" si="63"/>
        <v>0</v>
      </c>
      <c r="BJ108" s="104">
        <f t="shared" si="64"/>
        <v>0</v>
      </c>
      <c r="BL108" s="104">
        <f t="shared" si="65"/>
        <v>0</v>
      </c>
      <c r="BM108" s="104">
        <f t="shared" si="66"/>
        <v>0</v>
      </c>
      <c r="BN108" s="104">
        <f t="shared" si="67"/>
        <v>0</v>
      </c>
    </row>
    <row r="109" spans="1:66" s="19" customFormat="1" ht="15" customHeight="1" x14ac:dyDescent="0.3">
      <c r="A109" s="105">
        <v>96</v>
      </c>
      <c r="B109" s="108"/>
      <c r="C109" s="85"/>
      <c r="D109" s="106"/>
      <c r="E109" s="107"/>
      <c r="F109" s="113"/>
      <c r="G109" s="114"/>
      <c r="H109" s="107"/>
      <c r="I109" s="107"/>
      <c r="J109" s="107"/>
      <c r="K109" s="107"/>
      <c r="L109" s="13"/>
      <c r="M109" s="13"/>
      <c r="N109" s="13"/>
      <c r="O109" s="13"/>
      <c r="P109" s="13"/>
      <c r="Q109" s="13"/>
      <c r="R109" s="13"/>
      <c r="S109" s="13"/>
      <c r="T109" s="13"/>
      <c r="U109" s="13"/>
      <c r="V109" s="13"/>
      <c r="W109" s="13"/>
      <c r="X109" s="13"/>
      <c r="AE109" s="103">
        <f t="shared" si="50"/>
        <v>0</v>
      </c>
      <c r="AF109" s="103">
        <f t="shared" si="36"/>
        <v>0</v>
      </c>
      <c r="AG109" s="103">
        <f t="shared" si="37"/>
        <v>0</v>
      </c>
      <c r="AH109" s="103">
        <f t="shared" si="38"/>
        <v>0</v>
      </c>
      <c r="AI109" s="103">
        <f t="shared" si="39"/>
        <v>0</v>
      </c>
      <c r="AJ109" s="103">
        <f t="shared" si="40"/>
        <v>0</v>
      </c>
      <c r="AK109" s="103">
        <f t="shared" si="41"/>
        <v>0</v>
      </c>
      <c r="AL109" s="103">
        <f t="shared" si="42"/>
        <v>0</v>
      </c>
      <c r="AM109" s="103">
        <f t="shared" si="43"/>
        <v>0</v>
      </c>
      <c r="AN109" s="103">
        <f t="shared" si="44"/>
        <v>0</v>
      </c>
      <c r="AO109" s="103">
        <f t="shared" si="45"/>
        <v>0</v>
      </c>
      <c r="AP109" s="103">
        <f t="shared" si="46"/>
        <v>0</v>
      </c>
      <c r="AQ109" s="103">
        <f t="shared" si="47"/>
        <v>0</v>
      </c>
      <c r="AR109" s="103">
        <f t="shared" si="48"/>
        <v>0</v>
      </c>
      <c r="AS109" s="103"/>
      <c r="AT109" s="103">
        <f t="shared" si="35"/>
        <v>0</v>
      </c>
      <c r="AU109" s="103">
        <f t="shared" si="49"/>
        <v>0</v>
      </c>
      <c r="AV109" s="103">
        <f t="shared" si="51"/>
        <v>0</v>
      </c>
      <c r="AW109" s="103">
        <f t="shared" si="52"/>
        <v>0</v>
      </c>
      <c r="AX109" s="103"/>
      <c r="AY109" s="104">
        <f t="shared" si="53"/>
        <v>0</v>
      </c>
      <c r="AZ109" s="104">
        <f t="shared" si="54"/>
        <v>0</v>
      </c>
      <c r="BA109" s="104">
        <f t="shared" si="55"/>
        <v>0</v>
      </c>
      <c r="BB109" s="104">
        <f t="shared" si="56"/>
        <v>0</v>
      </c>
      <c r="BC109" s="104">
        <f t="shared" si="57"/>
        <v>0</v>
      </c>
      <c r="BD109" s="104">
        <f t="shared" si="58"/>
        <v>0</v>
      </c>
      <c r="BE109" s="104">
        <f t="shared" si="59"/>
        <v>0</v>
      </c>
      <c r="BF109" s="104">
        <f t="shared" si="60"/>
        <v>0</v>
      </c>
      <c r="BG109" s="104">
        <f t="shared" si="61"/>
        <v>0</v>
      </c>
      <c r="BH109" s="104">
        <f t="shared" si="62"/>
        <v>0</v>
      </c>
      <c r="BI109" s="104">
        <f t="shared" si="63"/>
        <v>0</v>
      </c>
      <c r="BJ109" s="104">
        <f t="shared" si="64"/>
        <v>0</v>
      </c>
      <c r="BL109" s="104">
        <f t="shared" si="65"/>
        <v>0</v>
      </c>
      <c r="BM109" s="104">
        <f t="shared" si="66"/>
        <v>0</v>
      </c>
      <c r="BN109" s="104">
        <f t="shared" si="67"/>
        <v>0</v>
      </c>
    </row>
    <row r="110" spans="1:66" s="19" customFormat="1" ht="15" customHeight="1" x14ac:dyDescent="0.3">
      <c r="A110" s="105">
        <v>97</v>
      </c>
      <c r="B110" s="108"/>
      <c r="C110" s="85"/>
      <c r="D110" s="106"/>
      <c r="E110" s="107"/>
      <c r="F110" s="113"/>
      <c r="G110" s="114"/>
      <c r="H110" s="107"/>
      <c r="I110" s="107"/>
      <c r="J110" s="107"/>
      <c r="K110" s="107"/>
      <c r="L110" s="13"/>
      <c r="M110" s="13"/>
      <c r="N110" s="13"/>
      <c r="O110" s="13"/>
      <c r="P110" s="13"/>
      <c r="Q110" s="13"/>
      <c r="R110" s="13"/>
      <c r="S110" s="13"/>
      <c r="T110" s="13"/>
      <c r="U110" s="13"/>
      <c r="V110" s="13"/>
      <c r="W110" s="13"/>
      <c r="X110" s="13"/>
      <c r="AE110" s="103">
        <f t="shared" si="50"/>
        <v>0</v>
      </c>
      <c r="AF110" s="103">
        <f t="shared" si="36"/>
        <v>0</v>
      </c>
      <c r="AG110" s="103">
        <f t="shared" si="37"/>
        <v>0</v>
      </c>
      <c r="AH110" s="103">
        <f t="shared" si="38"/>
        <v>0</v>
      </c>
      <c r="AI110" s="103">
        <f t="shared" si="39"/>
        <v>0</v>
      </c>
      <c r="AJ110" s="103">
        <f t="shared" si="40"/>
        <v>0</v>
      </c>
      <c r="AK110" s="103">
        <f t="shared" si="41"/>
        <v>0</v>
      </c>
      <c r="AL110" s="103">
        <f t="shared" si="42"/>
        <v>0</v>
      </c>
      <c r="AM110" s="103">
        <f t="shared" si="43"/>
        <v>0</v>
      </c>
      <c r="AN110" s="103">
        <f t="shared" si="44"/>
        <v>0</v>
      </c>
      <c r="AO110" s="103">
        <f t="shared" si="45"/>
        <v>0</v>
      </c>
      <c r="AP110" s="103">
        <f t="shared" si="46"/>
        <v>0</v>
      </c>
      <c r="AQ110" s="103">
        <f t="shared" si="47"/>
        <v>0</v>
      </c>
      <c r="AR110" s="103">
        <f t="shared" si="48"/>
        <v>0</v>
      </c>
      <c r="AS110" s="103"/>
      <c r="AT110" s="103">
        <f t="shared" si="35"/>
        <v>0</v>
      </c>
      <c r="AU110" s="103">
        <f t="shared" si="49"/>
        <v>0</v>
      </c>
      <c r="AV110" s="103">
        <f t="shared" si="51"/>
        <v>0</v>
      </c>
      <c r="AW110" s="103">
        <f t="shared" si="52"/>
        <v>0</v>
      </c>
      <c r="AX110" s="103"/>
      <c r="AY110" s="104">
        <f t="shared" si="53"/>
        <v>0</v>
      </c>
      <c r="AZ110" s="104">
        <f t="shared" si="54"/>
        <v>0</v>
      </c>
      <c r="BA110" s="104">
        <f t="shared" si="55"/>
        <v>0</v>
      </c>
      <c r="BB110" s="104">
        <f t="shared" si="56"/>
        <v>0</v>
      </c>
      <c r="BC110" s="104">
        <f t="shared" si="57"/>
        <v>0</v>
      </c>
      <c r="BD110" s="104">
        <f t="shared" si="58"/>
        <v>0</v>
      </c>
      <c r="BE110" s="104">
        <f t="shared" si="59"/>
        <v>0</v>
      </c>
      <c r="BF110" s="104">
        <f t="shared" si="60"/>
        <v>0</v>
      </c>
      <c r="BG110" s="104">
        <f t="shared" si="61"/>
        <v>0</v>
      </c>
      <c r="BH110" s="104">
        <f t="shared" si="62"/>
        <v>0</v>
      </c>
      <c r="BI110" s="104">
        <f t="shared" si="63"/>
        <v>0</v>
      </c>
      <c r="BJ110" s="104">
        <f t="shared" si="64"/>
        <v>0</v>
      </c>
      <c r="BL110" s="104">
        <f t="shared" si="65"/>
        <v>0</v>
      </c>
      <c r="BM110" s="104">
        <f t="shared" si="66"/>
        <v>0</v>
      </c>
      <c r="BN110" s="104">
        <f t="shared" si="67"/>
        <v>0</v>
      </c>
    </row>
    <row r="111" spans="1:66" s="19" customFormat="1" ht="15" customHeight="1" x14ac:dyDescent="0.3">
      <c r="A111" s="105">
        <v>98</v>
      </c>
      <c r="B111" s="108"/>
      <c r="C111" s="85"/>
      <c r="D111" s="106"/>
      <c r="E111" s="107"/>
      <c r="F111" s="113"/>
      <c r="G111" s="114"/>
      <c r="H111" s="107"/>
      <c r="I111" s="107"/>
      <c r="J111" s="107"/>
      <c r="K111" s="107"/>
      <c r="L111" s="13"/>
      <c r="M111" s="13"/>
      <c r="N111" s="13"/>
      <c r="O111" s="13"/>
      <c r="P111" s="13"/>
      <c r="Q111" s="13"/>
      <c r="R111" s="13"/>
      <c r="S111" s="13"/>
      <c r="T111" s="13"/>
      <c r="U111" s="13"/>
      <c r="V111" s="13"/>
      <c r="W111" s="13"/>
      <c r="X111" s="13"/>
      <c r="AE111" s="103">
        <f t="shared" si="50"/>
        <v>0</v>
      </c>
      <c r="AF111" s="103">
        <f t="shared" si="36"/>
        <v>0</v>
      </c>
      <c r="AG111" s="103">
        <f t="shared" si="37"/>
        <v>0</v>
      </c>
      <c r="AH111" s="103">
        <f t="shared" si="38"/>
        <v>0</v>
      </c>
      <c r="AI111" s="103">
        <f t="shared" si="39"/>
        <v>0</v>
      </c>
      <c r="AJ111" s="103">
        <f t="shared" si="40"/>
        <v>0</v>
      </c>
      <c r="AK111" s="103">
        <f t="shared" si="41"/>
        <v>0</v>
      </c>
      <c r="AL111" s="103">
        <f t="shared" si="42"/>
        <v>0</v>
      </c>
      <c r="AM111" s="103">
        <f t="shared" si="43"/>
        <v>0</v>
      </c>
      <c r="AN111" s="103">
        <f t="shared" si="44"/>
        <v>0</v>
      </c>
      <c r="AO111" s="103">
        <f t="shared" si="45"/>
        <v>0</v>
      </c>
      <c r="AP111" s="103">
        <f t="shared" si="46"/>
        <v>0</v>
      </c>
      <c r="AQ111" s="103">
        <f t="shared" si="47"/>
        <v>0</v>
      </c>
      <c r="AR111" s="103">
        <f t="shared" si="48"/>
        <v>0</v>
      </c>
      <c r="AS111" s="103"/>
      <c r="AT111" s="103">
        <f t="shared" si="35"/>
        <v>0</v>
      </c>
      <c r="AU111" s="103">
        <f t="shared" si="49"/>
        <v>0</v>
      </c>
      <c r="AV111" s="103">
        <f t="shared" si="51"/>
        <v>0</v>
      </c>
      <c r="AW111" s="103">
        <f t="shared" si="52"/>
        <v>0</v>
      </c>
      <c r="AX111" s="103"/>
      <c r="AY111" s="104">
        <f t="shared" si="53"/>
        <v>0</v>
      </c>
      <c r="AZ111" s="104">
        <f t="shared" si="54"/>
        <v>0</v>
      </c>
      <c r="BA111" s="104">
        <f t="shared" si="55"/>
        <v>0</v>
      </c>
      <c r="BB111" s="104">
        <f t="shared" si="56"/>
        <v>0</v>
      </c>
      <c r="BC111" s="104">
        <f t="shared" si="57"/>
        <v>0</v>
      </c>
      <c r="BD111" s="104">
        <f t="shared" si="58"/>
        <v>0</v>
      </c>
      <c r="BE111" s="104">
        <f t="shared" si="59"/>
        <v>0</v>
      </c>
      <c r="BF111" s="104">
        <f t="shared" si="60"/>
        <v>0</v>
      </c>
      <c r="BG111" s="104">
        <f t="shared" si="61"/>
        <v>0</v>
      </c>
      <c r="BH111" s="104">
        <f t="shared" si="62"/>
        <v>0</v>
      </c>
      <c r="BI111" s="104">
        <f t="shared" si="63"/>
        <v>0</v>
      </c>
      <c r="BJ111" s="104">
        <f t="shared" si="64"/>
        <v>0</v>
      </c>
      <c r="BL111" s="104">
        <f t="shared" si="65"/>
        <v>0</v>
      </c>
      <c r="BM111" s="104">
        <f t="shared" si="66"/>
        <v>0</v>
      </c>
      <c r="BN111" s="104">
        <f t="shared" si="67"/>
        <v>0</v>
      </c>
    </row>
    <row r="112" spans="1:66" s="19" customFormat="1" ht="15" customHeight="1" x14ac:dyDescent="0.3">
      <c r="A112" s="105">
        <v>99</v>
      </c>
      <c r="B112" s="108"/>
      <c r="C112" s="85"/>
      <c r="D112" s="106"/>
      <c r="E112" s="107"/>
      <c r="F112" s="113"/>
      <c r="G112" s="114"/>
      <c r="H112" s="107"/>
      <c r="I112" s="107"/>
      <c r="J112" s="107"/>
      <c r="K112" s="107"/>
      <c r="L112" s="13"/>
      <c r="M112" s="13"/>
      <c r="N112" s="13"/>
      <c r="O112" s="13"/>
      <c r="P112" s="13"/>
      <c r="Q112" s="13"/>
      <c r="R112" s="13"/>
      <c r="S112" s="13"/>
      <c r="T112" s="13"/>
      <c r="U112" s="13"/>
      <c r="V112" s="13"/>
      <c r="W112" s="13"/>
      <c r="X112" s="13"/>
      <c r="AE112" s="103">
        <f t="shared" si="50"/>
        <v>0</v>
      </c>
      <c r="AF112" s="103">
        <f t="shared" si="36"/>
        <v>0</v>
      </c>
      <c r="AG112" s="103">
        <f t="shared" si="37"/>
        <v>0</v>
      </c>
      <c r="AH112" s="103">
        <f t="shared" si="38"/>
        <v>0</v>
      </c>
      <c r="AI112" s="103">
        <f t="shared" si="39"/>
        <v>0</v>
      </c>
      <c r="AJ112" s="103">
        <f t="shared" si="40"/>
        <v>0</v>
      </c>
      <c r="AK112" s="103">
        <f t="shared" si="41"/>
        <v>0</v>
      </c>
      <c r="AL112" s="103">
        <f t="shared" si="42"/>
        <v>0</v>
      </c>
      <c r="AM112" s="103">
        <f t="shared" si="43"/>
        <v>0</v>
      </c>
      <c r="AN112" s="103">
        <f t="shared" si="44"/>
        <v>0</v>
      </c>
      <c r="AO112" s="103">
        <f t="shared" si="45"/>
        <v>0</v>
      </c>
      <c r="AP112" s="103">
        <f t="shared" si="46"/>
        <v>0</v>
      </c>
      <c r="AQ112" s="103">
        <f t="shared" si="47"/>
        <v>0</v>
      </c>
      <c r="AR112" s="103">
        <f t="shared" si="48"/>
        <v>0</v>
      </c>
      <c r="AS112" s="103"/>
      <c r="AT112" s="103">
        <f t="shared" si="35"/>
        <v>0</v>
      </c>
      <c r="AU112" s="103">
        <f t="shared" si="49"/>
        <v>0</v>
      </c>
      <c r="AV112" s="103">
        <f t="shared" si="51"/>
        <v>0</v>
      </c>
      <c r="AW112" s="103">
        <f t="shared" si="52"/>
        <v>0</v>
      </c>
      <c r="AX112" s="103"/>
      <c r="AY112" s="104">
        <f t="shared" si="53"/>
        <v>0</v>
      </c>
      <c r="AZ112" s="104">
        <f t="shared" si="54"/>
        <v>0</v>
      </c>
      <c r="BA112" s="104">
        <f t="shared" si="55"/>
        <v>0</v>
      </c>
      <c r="BB112" s="104">
        <f t="shared" si="56"/>
        <v>0</v>
      </c>
      <c r="BC112" s="104">
        <f t="shared" si="57"/>
        <v>0</v>
      </c>
      <c r="BD112" s="104">
        <f t="shared" si="58"/>
        <v>0</v>
      </c>
      <c r="BE112" s="104">
        <f t="shared" si="59"/>
        <v>0</v>
      </c>
      <c r="BF112" s="104">
        <f t="shared" si="60"/>
        <v>0</v>
      </c>
      <c r="BG112" s="104">
        <f t="shared" si="61"/>
        <v>0</v>
      </c>
      <c r="BH112" s="104">
        <f t="shared" si="62"/>
        <v>0</v>
      </c>
      <c r="BI112" s="104">
        <f t="shared" si="63"/>
        <v>0</v>
      </c>
      <c r="BJ112" s="104">
        <f t="shared" si="64"/>
        <v>0</v>
      </c>
      <c r="BL112" s="104">
        <f t="shared" si="65"/>
        <v>0</v>
      </c>
      <c r="BM112" s="104">
        <f t="shared" si="66"/>
        <v>0</v>
      </c>
      <c r="BN112" s="104">
        <f t="shared" si="67"/>
        <v>0</v>
      </c>
    </row>
    <row r="113" spans="1:66" s="19" customFormat="1" ht="15" customHeight="1" x14ac:dyDescent="0.3">
      <c r="A113" s="105">
        <v>100</v>
      </c>
      <c r="B113" s="108"/>
      <c r="C113" s="85"/>
      <c r="D113" s="106"/>
      <c r="E113" s="107"/>
      <c r="F113" s="113"/>
      <c r="G113" s="114"/>
      <c r="H113" s="107"/>
      <c r="I113" s="107"/>
      <c r="J113" s="107"/>
      <c r="K113" s="107"/>
      <c r="L113" s="13"/>
      <c r="M113" s="13"/>
      <c r="N113" s="13"/>
      <c r="O113" s="13"/>
      <c r="P113" s="13"/>
      <c r="Q113" s="13"/>
      <c r="R113" s="13"/>
      <c r="S113" s="13"/>
      <c r="T113" s="13"/>
      <c r="U113" s="13"/>
      <c r="V113" s="13"/>
      <c r="W113" s="13"/>
      <c r="X113" s="13"/>
      <c r="AE113" s="103">
        <f t="shared" si="50"/>
        <v>0</v>
      </c>
      <c r="AF113" s="103">
        <f t="shared" si="36"/>
        <v>0</v>
      </c>
      <c r="AG113" s="103">
        <f t="shared" si="37"/>
        <v>0</v>
      </c>
      <c r="AH113" s="103">
        <f t="shared" si="38"/>
        <v>0</v>
      </c>
      <c r="AI113" s="103">
        <f t="shared" si="39"/>
        <v>0</v>
      </c>
      <c r="AJ113" s="103">
        <f t="shared" si="40"/>
        <v>0</v>
      </c>
      <c r="AK113" s="103">
        <f t="shared" si="41"/>
        <v>0</v>
      </c>
      <c r="AL113" s="103">
        <f t="shared" si="42"/>
        <v>0</v>
      </c>
      <c r="AM113" s="103">
        <f t="shared" si="43"/>
        <v>0</v>
      </c>
      <c r="AN113" s="103">
        <f t="shared" si="44"/>
        <v>0</v>
      </c>
      <c r="AO113" s="103">
        <f t="shared" si="45"/>
        <v>0</v>
      </c>
      <c r="AP113" s="103">
        <f t="shared" si="46"/>
        <v>0</v>
      </c>
      <c r="AQ113" s="103">
        <f t="shared" si="47"/>
        <v>0</v>
      </c>
      <c r="AR113" s="103">
        <f t="shared" si="48"/>
        <v>0</v>
      </c>
      <c r="AS113" s="103"/>
      <c r="AT113" s="103">
        <f t="shared" si="35"/>
        <v>0</v>
      </c>
      <c r="AU113" s="103">
        <f t="shared" si="49"/>
        <v>0</v>
      </c>
      <c r="AV113" s="103">
        <f t="shared" si="51"/>
        <v>0</v>
      </c>
      <c r="AW113" s="103">
        <f t="shared" si="52"/>
        <v>0</v>
      </c>
      <c r="AX113" s="103"/>
      <c r="AY113" s="104">
        <f t="shared" si="53"/>
        <v>0</v>
      </c>
      <c r="AZ113" s="104">
        <f t="shared" si="54"/>
        <v>0</v>
      </c>
      <c r="BA113" s="104">
        <f t="shared" si="55"/>
        <v>0</v>
      </c>
      <c r="BB113" s="104">
        <f t="shared" si="56"/>
        <v>0</v>
      </c>
      <c r="BC113" s="104">
        <f t="shared" si="57"/>
        <v>0</v>
      </c>
      <c r="BD113" s="104">
        <f t="shared" si="58"/>
        <v>0</v>
      </c>
      <c r="BE113" s="104">
        <f t="shared" si="59"/>
        <v>0</v>
      </c>
      <c r="BF113" s="104">
        <f t="shared" si="60"/>
        <v>0</v>
      </c>
      <c r="BG113" s="104">
        <f t="shared" si="61"/>
        <v>0</v>
      </c>
      <c r="BH113" s="104">
        <f t="shared" si="62"/>
        <v>0</v>
      </c>
      <c r="BI113" s="104">
        <f t="shared" si="63"/>
        <v>0</v>
      </c>
      <c r="BJ113" s="104">
        <f t="shared" si="64"/>
        <v>0</v>
      </c>
      <c r="BL113" s="104">
        <f t="shared" si="65"/>
        <v>0</v>
      </c>
      <c r="BM113" s="104">
        <f t="shared" si="66"/>
        <v>0</v>
      </c>
      <c r="BN113" s="104">
        <f t="shared" si="67"/>
        <v>0</v>
      </c>
    </row>
    <row r="114" spans="1:66" s="19" customFormat="1" ht="15" customHeight="1" x14ac:dyDescent="0.3">
      <c r="A114" s="122"/>
      <c r="B114" s="123"/>
      <c r="C114" s="73"/>
      <c r="D114" s="32"/>
      <c r="E114" s="124"/>
      <c r="F114" s="125"/>
      <c r="G114" s="126"/>
      <c r="H114" s="124"/>
      <c r="I114" s="124"/>
      <c r="J114" s="124"/>
      <c r="K114" s="124"/>
      <c r="L114" s="13"/>
      <c r="M114" s="13"/>
      <c r="N114" s="13"/>
      <c r="O114" s="13"/>
      <c r="P114" s="13"/>
      <c r="Q114" s="13"/>
      <c r="R114" s="13"/>
      <c r="S114" s="13"/>
      <c r="T114" s="13"/>
      <c r="U114" s="13"/>
      <c r="V114" s="13"/>
      <c r="W114" s="13"/>
      <c r="X114" s="13"/>
      <c r="AE114" s="103">
        <f t="shared" si="50"/>
        <v>0</v>
      </c>
      <c r="AF114" s="103">
        <f t="shared" si="36"/>
        <v>0</v>
      </c>
      <c r="AG114" s="103">
        <f t="shared" si="37"/>
        <v>0</v>
      </c>
      <c r="AH114" s="103">
        <f t="shared" si="38"/>
        <v>0</v>
      </c>
      <c r="AI114" s="103">
        <f t="shared" si="39"/>
        <v>0</v>
      </c>
      <c r="AJ114" s="103">
        <f t="shared" si="40"/>
        <v>0</v>
      </c>
      <c r="AK114" s="103">
        <f t="shared" si="41"/>
        <v>0</v>
      </c>
      <c r="AL114" s="103">
        <f t="shared" si="42"/>
        <v>0</v>
      </c>
      <c r="AM114" s="103">
        <f t="shared" si="43"/>
        <v>0</v>
      </c>
      <c r="AN114" s="103">
        <f t="shared" si="44"/>
        <v>0</v>
      </c>
      <c r="AO114" s="103">
        <f t="shared" si="45"/>
        <v>0</v>
      </c>
      <c r="AP114" s="103">
        <f t="shared" si="46"/>
        <v>0</v>
      </c>
      <c r="AQ114" s="103">
        <f t="shared" si="47"/>
        <v>0</v>
      </c>
      <c r="AR114" s="103">
        <f t="shared" si="48"/>
        <v>0</v>
      </c>
      <c r="AS114" s="103"/>
      <c r="AT114" s="103">
        <f t="shared" si="35"/>
        <v>0</v>
      </c>
      <c r="AU114" s="103">
        <f t="shared" si="49"/>
        <v>0</v>
      </c>
      <c r="AV114" s="103">
        <f t="shared" si="51"/>
        <v>0</v>
      </c>
      <c r="AW114" s="103">
        <f t="shared" si="52"/>
        <v>0</v>
      </c>
      <c r="AX114" s="103"/>
      <c r="AY114" s="104">
        <f t="shared" si="53"/>
        <v>0</v>
      </c>
      <c r="AZ114" s="104">
        <f t="shared" si="54"/>
        <v>0</v>
      </c>
      <c r="BA114" s="104">
        <f t="shared" si="55"/>
        <v>0</v>
      </c>
      <c r="BB114" s="104">
        <f t="shared" si="56"/>
        <v>0</v>
      </c>
      <c r="BC114" s="104">
        <f t="shared" si="57"/>
        <v>0</v>
      </c>
      <c r="BD114" s="104">
        <f t="shared" si="58"/>
        <v>0</v>
      </c>
      <c r="BE114" s="104">
        <f t="shared" si="59"/>
        <v>0</v>
      </c>
      <c r="BF114" s="104">
        <f t="shared" si="60"/>
        <v>0</v>
      </c>
      <c r="BG114" s="104">
        <f t="shared" si="61"/>
        <v>0</v>
      </c>
      <c r="BH114" s="104">
        <f t="shared" si="62"/>
        <v>0</v>
      </c>
      <c r="BI114" s="104">
        <f t="shared" si="63"/>
        <v>0</v>
      </c>
      <c r="BJ114" s="104">
        <f t="shared" si="64"/>
        <v>0</v>
      </c>
      <c r="BL114" s="104">
        <f t="shared" si="65"/>
        <v>0</v>
      </c>
      <c r="BM114" s="104">
        <f t="shared" si="66"/>
        <v>0</v>
      </c>
      <c r="BN114" s="104">
        <f t="shared" si="67"/>
        <v>0</v>
      </c>
    </row>
    <row r="115" spans="1:66" s="19" customFormat="1" ht="15" customHeight="1" x14ac:dyDescent="0.3">
      <c r="A115" s="115">
        <v>101</v>
      </c>
      <c r="B115" s="116"/>
      <c r="C115" s="117"/>
      <c r="D115" s="118"/>
      <c r="E115" s="119"/>
      <c r="F115" s="120"/>
      <c r="G115" s="121"/>
      <c r="H115" s="119"/>
      <c r="I115" s="119"/>
      <c r="J115" s="119"/>
      <c r="K115" s="119"/>
      <c r="L115" s="13" t="s">
        <v>114</v>
      </c>
      <c r="M115" s="13"/>
      <c r="N115" s="13"/>
      <c r="O115" s="13"/>
      <c r="P115" s="13"/>
      <c r="Q115" s="13"/>
      <c r="R115" s="13"/>
      <c r="S115" s="13"/>
      <c r="T115" s="13"/>
      <c r="U115" s="13"/>
      <c r="V115" s="13"/>
      <c r="W115" s="13"/>
      <c r="X115" s="13"/>
      <c r="AE115" s="103"/>
      <c r="AF115" s="103"/>
      <c r="AG115" s="103"/>
      <c r="AH115" s="103"/>
      <c r="AI115" s="103"/>
      <c r="AJ115" s="103"/>
      <c r="AK115" s="103"/>
      <c r="AL115" s="103"/>
      <c r="AM115" s="103"/>
      <c r="AN115" s="103"/>
      <c r="AO115" s="103"/>
      <c r="AP115" s="103"/>
      <c r="AQ115" s="103"/>
      <c r="AR115" s="103"/>
      <c r="AS115" s="103"/>
      <c r="AT115" s="103"/>
      <c r="AU115" s="103"/>
      <c r="AV115" s="103"/>
      <c r="AW115" s="103"/>
      <c r="AX115" s="103"/>
      <c r="AY115" s="104"/>
      <c r="AZ115" s="104"/>
      <c r="BA115" s="104"/>
      <c r="BB115" s="104"/>
      <c r="BC115" s="104"/>
      <c r="BD115" s="104"/>
      <c r="BE115" s="104"/>
      <c r="BF115" s="104"/>
      <c r="BG115" s="104"/>
      <c r="BH115" s="104"/>
      <c r="BI115" s="104"/>
      <c r="BJ115" s="104"/>
      <c r="BL115" s="104"/>
      <c r="BM115" s="104"/>
      <c r="BN115" s="104"/>
    </row>
    <row r="116" spans="1:66" s="19" customFormat="1" ht="15" customHeight="1" x14ac:dyDescent="0.3">
      <c r="A116" s="96">
        <v>102</v>
      </c>
      <c r="B116" s="97"/>
      <c r="C116" s="98"/>
      <c r="D116" s="99"/>
      <c r="E116" s="100"/>
      <c r="F116" s="101"/>
      <c r="G116" s="102"/>
      <c r="H116" s="100"/>
      <c r="I116" s="100"/>
      <c r="J116" s="100"/>
      <c r="K116" s="100"/>
      <c r="L116" s="13"/>
      <c r="M116" s="13"/>
      <c r="N116" s="13"/>
      <c r="O116" s="13"/>
      <c r="P116" s="13"/>
      <c r="Q116" s="13"/>
      <c r="R116" s="13"/>
      <c r="S116" s="13"/>
      <c r="T116" s="13"/>
      <c r="U116" s="13"/>
      <c r="V116" s="13"/>
      <c r="W116" s="13"/>
      <c r="X116" s="13"/>
      <c r="AE116" s="103">
        <f t="shared" si="50"/>
        <v>0</v>
      </c>
      <c r="AF116" s="103">
        <f t="shared" si="36"/>
        <v>0</v>
      </c>
      <c r="AG116" s="103">
        <f t="shared" si="37"/>
        <v>0</v>
      </c>
      <c r="AH116" s="103">
        <f t="shared" si="38"/>
        <v>0</v>
      </c>
      <c r="AI116" s="103">
        <f t="shared" si="39"/>
        <v>0</v>
      </c>
      <c r="AJ116" s="103">
        <f t="shared" si="40"/>
        <v>0</v>
      </c>
      <c r="AK116" s="103">
        <f t="shared" si="41"/>
        <v>0</v>
      </c>
      <c r="AL116" s="103">
        <f t="shared" si="42"/>
        <v>0</v>
      </c>
      <c r="AM116" s="103">
        <f t="shared" si="43"/>
        <v>0</v>
      </c>
      <c r="AN116" s="103">
        <f t="shared" si="44"/>
        <v>0</v>
      </c>
      <c r="AO116" s="103">
        <f t="shared" si="45"/>
        <v>0</v>
      </c>
      <c r="AP116" s="103">
        <f t="shared" si="46"/>
        <v>0</v>
      </c>
      <c r="AQ116" s="103">
        <f t="shared" si="47"/>
        <v>0</v>
      </c>
      <c r="AR116" s="103">
        <f t="shared" si="48"/>
        <v>0</v>
      </c>
      <c r="AS116" s="103"/>
      <c r="AT116" s="103">
        <f t="shared" si="35"/>
        <v>0</v>
      </c>
      <c r="AU116" s="103">
        <f t="shared" si="49"/>
        <v>0</v>
      </c>
      <c r="AV116" s="103">
        <f t="shared" si="51"/>
        <v>0</v>
      </c>
      <c r="AW116" s="103">
        <f t="shared" si="52"/>
        <v>0</v>
      </c>
      <c r="AX116" s="103"/>
      <c r="AY116" s="104">
        <f t="shared" si="53"/>
        <v>0</v>
      </c>
      <c r="AZ116" s="104">
        <f t="shared" si="54"/>
        <v>0</v>
      </c>
      <c r="BA116" s="104">
        <f t="shared" si="55"/>
        <v>0</v>
      </c>
      <c r="BB116" s="104">
        <f t="shared" si="56"/>
        <v>0</v>
      </c>
      <c r="BC116" s="104">
        <f t="shared" si="57"/>
        <v>0</v>
      </c>
      <c r="BD116" s="104">
        <f t="shared" si="58"/>
        <v>0</v>
      </c>
      <c r="BE116" s="104">
        <f t="shared" si="59"/>
        <v>0</v>
      </c>
      <c r="BF116" s="104">
        <f t="shared" si="60"/>
        <v>0</v>
      </c>
      <c r="BG116" s="104">
        <f t="shared" si="61"/>
        <v>0</v>
      </c>
      <c r="BH116" s="104">
        <f t="shared" si="62"/>
        <v>0</v>
      </c>
      <c r="BI116" s="104">
        <f t="shared" si="63"/>
        <v>0</v>
      </c>
      <c r="BJ116" s="104">
        <f t="shared" si="64"/>
        <v>0</v>
      </c>
      <c r="BL116" s="104">
        <f t="shared" si="65"/>
        <v>0</v>
      </c>
      <c r="BM116" s="104">
        <f t="shared" si="66"/>
        <v>0</v>
      </c>
      <c r="BN116" s="104">
        <f t="shared" si="67"/>
        <v>0</v>
      </c>
    </row>
    <row r="117" spans="1:66" s="19" customFormat="1" ht="15" customHeight="1" x14ac:dyDescent="0.3">
      <c r="A117" s="105">
        <v>103</v>
      </c>
      <c r="B117" s="108"/>
      <c r="C117" s="85"/>
      <c r="D117" s="106"/>
      <c r="E117" s="107"/>
      <c r="F117" s="113"/>
      <c r="G117" s="114"/>
      <c r="H117" s="107"/>
      <c r="I117" s="107"/>
      <c r="J117" s="107"/>
      <c r="K117" s="107"/>
      <c r="L117" s="13"/>
      <c r="M117" s="13"/>
      <c r="N117" s="13"/>
      <c r="O117" s="13"/>
      <c r="P117" s="13"/>
      <c r="Q117" s="13"/>
      <c r="R117" s="13"/>
      <c r="S117" s="13"/>
      <c r="T117" s="13"/>
      <c r="U117" s="13"/>
      <c r="V117" s="13"/>
      <c r="W117" s="13"/>
      <c r="X117" s="13"/>
      <c r="AE117" s="103">
        <f t="shared" si="50"/>
        <v>0</v>
      </c>
      <c r="AF117" s="103">
        <f t="shared" si="36"/>
        <v>0</v>
      </c>
      <c r="AG117" s="103">
        <f t="shared" si="37"/>
        <v>0</v>
      </c>
      <c r="AH117" s="103">
        <f t="shared" si="38"/>
        <v>0</v>
      </c>
      <c r="AI117" s="103">
        <f t="shared" si="39"/>
        <v>0</v>
      </c>
      <c r="AJ117" s="103">
        <f t="shared" si="40"/>
        <v>0</v>
      </c>
      <c r="AK117" s="103">
        <f t="shared" si="41"/>
        <v>0</v>
      </c>
      <c r="AL117" s="103">
        <f t="shared" si="42"/>
        <v>0</v>
      </c>
      <c r="AM117" s="103">
        <f t="shared" si="43"/>
        <v>0</v>
      </c>
      <c r="AN117" s="103">
        <f t="shared" si="44"/>
        <v>0</v>
      </c>
      <c r="AO117" s="103">
        <f t="shared" si="45"/>
        <v>0</v>
      </c>
      <c r="AP117" s="103">
        <f t="shared" si="46"/>
        <v>0</v>
      </c>
      <c r="AQ117" s="103">
        <f t="shared" si="47"/>
        <v>0</v>
      </c>
      <c r="AR117" s="103">
        <f t="shared" si="48"/>
        <v>0</v>
      </c>
      <c r="AS117" s="103"/>
      <c r="AT117" s="103">
        <f t="shared" si="35"/>
        <v>0</v>
      </c>
      <c r="AU117" s="103">
        <f t="shared" si="49"/>
        <v>0</v>
      </c>
      <c r="AV117" s="103">
        <f t="shared" si="51"/>
        <v>0</v>
      </c>
      <c r="AW117" s="103">
        <f t="shared" si="52"/>
        <v>0</v>
      </c>
      <c r="AX117" s="103"/>
      <c r="AY117" s="104">
        <f t="shared" si="53"/>
        <v>0</v>
      </c>
      <c r="AZ117" s="104">
        <f t="shared" si="54"/>
        <v>0</v>
      </c>
      <c r="BA117" s="104">
        <f t="shared" si="55"/>
        <v>0</v>
      </c>
      <c r="BB117" s="104">
        <f t="shared" si="56"/>
        <v>0</v>
      </c>
      <c r="BC117" s="104">
        <f t="shared" si="57"/>
        <v>0</v>
      </c>
      <c r="BD117" s="104">
        <f t="shared" si="58"/>
        <v>0</v>
      </c>
      <c r="BE117" s="104">
        <f t="shared" si="59"/>
        <v>0</v>
      </c>
      <c r="BF117" s="104">
        <f t="shared" si="60"/>
        <v>0</v>
      </c>
      <c r="BG117" s="104">
        <f t="shared" si="61"/>
        <v>0</v>
      </c>
      <c r="BH117" s="104">
        <f t="shared" si="62"/>
        <v>0</v>
      </c>
      <c r="BI117" s="104">
        <f t="shared" si="63"/>
        <v>0</v>
      </c>
      <c r="BJ117" s="104">
        <f t="shared" si="64"/>
        <v>0</v>
      </c>
      <c r="BL117" s="104">
        <f t="shared" si="65"/>
        <v>0</v>
      </c>
      <c r="BM117" s="104">
        <f t="shared" si="66"/>
        <v>0</v>
      </c>
      <c r="BN117" s="104">
        <f t="shared" si="67"/>
        <v>0</v>
      </c>
    </row>
    <row r="118" spans="1:66" s="19" customFormat="1" ht="15" customHeight="1" x14ac:dyDescent="0.3">
      <c r="A118" s="105">
        <v>104</v>
      </c>
      <c r="B118" s="108"/>
      <c r="C118" s="85"/>
      <c r="D118" s="106"/>
      <c r="E118" s="107"/>
      <c r="F118" s="113"/>
      <c r="G118" s="114"/>
      <c r="H118" s="107"/>
      <c r="I118" s="107"/>
      <c r="J118" s="107"/>
      <c r="K118" s="107"/>
      <c r="L118" s="13"/>
      <c r="M118" s="13"/>
      <c r="N118" s="13"/>
      <c r="O118" s="13"/>
      <c r="P118" s="13"/>
      <c r="Q118" s="13"/>
      <c r="R118" s="13"/>
      <c r="S118" s="13"/>
      <c r="T118" s="13"/>
      <c r="U118" s="13"/>
      <c r="V118" s="13"/>
      <c r="W118" s="13"/>
      <c r="X118" s="13"/>
      <c r="AE118" s="103">
        <f t="shared" si="50"/>
        <v>0</v>
      </c>
      <c r="AF118" s="103">
        <f t="shared" si="36"/>
        <v>0</v>
      </c>
      <c r="AG118" s="103">
        <f t="shared" si="37"/>
        <v>0</v>
      </c>
      <c r="AH118" s="103">
        <f t="shared" si="38"/>
        <v>0</v>
      </c>
      <c r="AI118" s="103">
        <f t="shared" si="39"/>
        <v>0</v>
      </c>
      <c r="AJ118" s="103">
        <f t="shared" si="40"/>
        <v>0</v>
      </c>
      <c r="AK118" s="103">
        <f t="shared" si="41"/>
        <v>0</v>
      </c>
      <c r="AL118" s="103">
        <f t="shared" si="42"/>
        <v>0</v>
      </c>
      <c r="AM118" s="103">
        <f t="shared" si="43"/>
        <v>0</v>
      </c>
      <c r="AN118" s="103">
        <f t="shared" si="44"/>
        <v>0</v>
      </c>
      <c r="AO118" s="103">
        <f t="shared" si="45"/>
        <v>0</v>
      </c>
      <c r="AP118" s="103">
        <f t="shared" si="46"/>
        <v>0</v>
      </c>
      <c r="AQ118" s="103">
        <f t="shared" si="47"/>
        <v>0</v>
      </c>
      <c r="AR118" s="103">
        <f t="shared" si="48"/>
        <v>0</v>
      </c>
      <c r="AS118" s="103"/>
      <c r="AT118" s="103">
        <f t="shared" si="35"/>
        <v>0</v>
      </c>
      <c r="AU118" s="103">
        <f t="shared" si="49"/>
        <v>0</v>
      </c>
      <c r="AV118" s="103">
        <f t="shared" si="51"/>
        <v>0</v>
      </c>
      <c r="AW118" s="103">
        <f t="shared" si="52"/>
        <v>0</v>
      </c>
      <c r="AX118" s="103"/>
      <c r="AY118" s="104">
        <f t="shared" si="53"/>
        <v>0</v>
      </c>
      <c r="AZ118" s="104">
        <f t="shared" si="54"/>
        <v>0</v>
      </c>
      <c r="BA118" s="104">
        <f t="shared" si="55"/>
        <v>0</v>
      </c>
      <c r="BB118" s="104">
        <f t="shared" si="56"/>
        <v>0</v>
      </c>
      <c r="BC118" s="104">
        <f t="shared" si="57"/>
        <v>0</v>
      </c>
      <c r="BD118" s="104">
        <f t="shared" si="58"/>
        <v>0</v>
      </c>
      <c r="BE118" s="104">
        <f t="shared" si="59"/>
        <v>0</v>
      </c>
      <c r="BF118" s="104">
        <f t="shared" si="60"/>
        <v>0</v>
      </c>
      <c r="BG118" s="104">
        <f t="shared" si="61"/>
        <v>0</v>
      </c>
      <c r="BH118" s="104">
        <f t="shared" si="62"/>
        <v>0</v>
      </c>
      <c r="BI118" s="104">
        <f t="shared" si="63"/>
        <v>0</v>
      </c>
      <c r="BJ118" s="104">
        <f t="shared" si="64"/>
        <v>0</v>
      </c>
      <c r="BL118" s="104">
        <f t="shared" si="65"/>
        <v>0</v>
      </c>
      <c r="BM118" s="104">
        <f t="shared" si="66"/>
        <v>0</v>
      </c>
      <c r="BN118" s="104">
        <f t="shared" si="67"/>
        <v>0</v>
      </c>
    </row>
    <row r="119" spans="1:66" s="19" customFormat="1" ht="15" customHeight="1" x14ac:dyDescent="0.3">
      <c r="A119" s="105">
        <v>105</v>
      </c>
      <c r="B119" s="108"/>
      <c r="C119" s="85"/>
      <c r="D119" s="106"/>
      <c r="E119" s="107"/>
      <c r="F119" s="113"/>
      <c r="G119" s="114"/>
      <c r="H119" s="107"/>
      <c r="I119" s="107"/>
      <c r="J119" s="107"/>
      <c r="K119" s="107"/>
      <c r="L119" s="13"/>
      <c r="M119" s="13"/>
      <c r="N119" s="13"/>
      <c r="O119" s="13"/>
      <c r="P119" s="13"/>
      <c r="Q119" s="13"/>
      <c r="R119" s="13"/>
      <c r="S119" s="13"/>
      <c r="T119" s="13"/>
      <c r="U119" s="13"/>
      <c r="V119" s="13"/>
      <c r="W119" s="13"/>
      <c r="X119" s="13"/>
      <c r="AE119" s="103">
        <f t="shared" si="50"/>
        <v>0</v>
      </c>
      <c r="AF119" s="103">
        <f t="shared" si="36"/>
        <v>0</v>
      </c>
      <c r="AG119" s="103">
        <f t="shared" si="37"/>
        <v>0</v>
      </c>
      <c r="AH119" s="103">
        <f t="shared" si="38"/>
        <v>0</v>
      </c>
      <c r="AI119" s="103">
        <f t="shared" si="39"/>
        <v>0</v>
      </c>
      <c r="AJ119" s="103">
        <f t="shared" si="40"/>
        <v>0</v>
      </c>
      <c r="AK119" s="103">
        <f t="shared" si="41"/>
        <v>0</v>
      </c>
      <c r="AL119" s="103">
        <f t="shared" si="42"/>
        <v>0</v>
      </c>
      <c r="AM119" s="103">
        <f t="shared" si="43"/>
        <v>0</v>
      </c>
      <c r="AN119" s="103">
        <f t="shared" si="44"/>
        <v>0</v>
      </c>
      <c r="AO119" s="103">
        <f t="shared" si="45"/>
        <v>0</v>
      </c>
      <c r="AP119" s="103">
        <f t="shared" si="46"/>
        <v>0</v>
      </c>
      <c r="AQ119" s="103">
        <f t="shared" si="47"/>
        <v>0</v>
      </c>
      <c r="AR119" s="103">
        <f t="shared" si="48"/>
        <v>0</v>
      </c>
      <c r="AS119" s="103"/>
      <c r="AT119" s="103">
        <f t="shared" si="35"/>
        <v>0</v>
      </c>
      <c r="AU119" s="103">
        <f t="shared" si="49"/>
        <v>0</v>
      </c>
      <c r="AV119" s="103">
        <f t="shared" si="51"/>
        <v>0</v>
      </c>
      <c r="AW119" s="103">
        <f t="shared" si="52"/>
        <v>0</v>
      </c>
      <c r="AX119" s="103"/>
      <c r="AY119" s="104">
        <f t="shared" si="53"/>
        <v>0</v>
      </c>
      <c r="AZ119" s="104">
        <f t="shared" si="54"/>
        <v>0</v>
      </c>
      <c r="BA119" s="104">
        <f t="shared" si="55"/>
        <v>0</v>
      </c>
      <c r="BB119" s="104">
        <f t="shared" si="56"/>
        <v>0</v>
      </c>
      <c r="BC119" s="104">
        <f t="shared" si="57"/>
        <v>0</v>
      </c>
      <c r="BD119" s="104">
        <f t="shared" si="58"/>
        <v>0</v>
      </c>
      <c r="BE119" s="104">
        <f t="shared" si="59"/>
        <v>0</v>
      </c>
      <c r="BF119" s="104">
        <f t="shared" si="60"/>
        <v>0</v>
      </c>
      <c r="BG119" s="104">
        <f t="shared" si="61"/>
        <v>0</v>
      </c>
      <c r="BH119" s="104">
        <f t="shared" si="62"/>
        <v>0</v>
      </c>
      <c r="BI119" s="104">
        <f t="shared" si="63"/>
        <v>0</v>
      </c>
      <c r="BJ119" s="104">
        <f t="shared" si="64"/>
        <v>0</v>
      </c>
      <c r="BL119" s="104">
        <f t="shared" si="65"/>
        <v>0</v>
      </c>
      <c r="BM119" s="104">
        <f t="shared" si="66"/>
        <v>0</v>
      </c>
      <c r="BN119" s="104">
        <f t="shared" si="67"/>
        <v>0</v>
      </c>
    </row>
    <row r="120" spans="1:66" s="19" customFormat="1" ht="15" customHeight="1" x14ac:dyDescent="0.3">
      <c r="A120" s="105">
        <v>106</v>
      </c>
      <c r="B120" s="108"/>
      <c r="C120" s="85"/>
      <c r="D120" s="106"/>
      <c r="E120" s="107"/>
      <c r="F120" s="113"/>
      <c r="G120" s="114"/>
      <c r="H120" s="107"/>
      <c r="I120" s="107"/>
      <c r="J120" s="107"/>
      <c r="K120" s="107"/>
      <c r="L120" s="13"/>
      <c r="M120" s="13"/>
      <c r="N120" s="13"/>
      <c r="O120" s="13"/>
      <c r="P120" s="13"/>
      <c r="Q120" s="13"/>
      <c r="R120" s="13"/>
      <c r="S120" s="13"/>
      <c r="T120" s="13"/>
      <c r="U120" s="13"/>
      <c r="V120" s="13"/>
      <c r="W120" s="13"/>
      <c r="X120" s="13"/>
      <c r="AE120" s="103">
        <f t="shared" si="50"/>
        <v>0</v>
      </c>
      <c r="AF120" s="103">
        <f t="shared" si="36"/>
        <v>0</v>
      </c>
      <c r="AG120" s="103">
        <f t="shared" si="37"/>
        <v>0</v>
      </c>
      <c r="AH120" s="103">
        <f t="shared" si="38"/>
        <v>0</v>
      </c>
      <c r="AI120" s="103">
        <f t="shared" si="39"/>
        <v>0</v>
      </c>
      <c r="AJ120" s="103">
        <f t="shared" si="40"/>
        <v>0</v>
      </c>
      <c r="AK120" s="103">
        <f t="shared" si="41"/>
        <v>0</v>
      </c>
      <c r="AL120" s="103">
        <f t="shared" si="42"/>
        <v>0</v>
      </c>
      <c r="AM120" s="103">
        <f t="shared" si="43"/>
        <v>0</v>
      </c>
      <c r="AN120" s="103">
        <f t="shared" si="44"/>
        <v>0</v>
      </c>
      <c r="AO120" s="103">
        <f t="shared" si="45"/>
        <v>0</v>
      </c>
      <c r="AP120" s="103">
        <f t="shared" si="46"/>
        <v>0</v>
      </c>
      <c r="AQ120" s="103">
        <f t="shared" si="47"/>
        <v>0</v>
      </c>
      <c r="AR120" s="103">
        <f t="shared" si="48"/>
        <v>0</v>
      </c>
      <c r="AS120" s="103"/>
      <c r="AT120" s="103">
        <f t="shared" si="35"/>
        <v>0</v>
      </c>
      <c r="AU120" s="103">
        <f t="shared" si="49"/>
        <v>0</v>
      </c>
      <c r="AV120" s="103">
        <f t="shared" si="51"/>
        <v>0</v>
      </c>
      <c r="AW120" s="103">
        <f t="shared" si="52"/>
        <v>0</v>
      </c>
      <c r="AX120" s="103"/>
      <c r="AY120" s="104">
        <f t="shared" si="53"/>
        <v>0</v>
      </c>
      <c r="AZ120" s="104">
        <f t="shared" si="54"/>
        <v>0</v>
      </c>
      <c r="BA120" s="104">
        <f t="shared" si="55"/>
        <v>0</v>
      </c>
      <c r="BB120" s="104">
        <f t="shared" si="56"/>
        <v>0</v>
      </c>
      <c r="BC120" s="104">
        <f t="shared" si="57"/>
        <v>0</v>
      </c>
      <c r="BD120" s="104">
        <f t="shared" si="58"/>
        <v>0</v>
      </c>
      <c r="BE120" s="104">
        <f t="shared" si="59"/>
        <v>0</v>
      </c>
      <c r="BF120" s="104">
        <f t="shared" si="60"/>
        <v>0</v>
      </c>
      <c r="BG120" s="104">
        <f t="shared" si="61"/>
        <v>0</v>
      </c>
      <c r="BH120" s="104">
        <f t="shared" si="62"/>
        <v>0</v>
      </c>
      <c r="BI120" s="104">
        <f t="shared" si="63"/>
        <v>0</v>
      </c>
      <c r="BJ120" s="104">
        <f t="shared" si="64"/>
        <v>0</v>
      </c>
      <c r="BL120" s="104">
        <f t="shared" si="65"/>
        <v>0</v>
      </c>
      <c r="BM120" s="104">
        <f t="shared" si="66"/>
        <v>0</v>
      </c>
      <c r="BN120" s="104">
        <f t="shared" si="67"/>
        <v>0</v>
      </c>
    </row>
    <row r="121" spans="1:66" s="19" customFormat="1" ht="15" customHeight="1" x14ac:dyDescent="0.3">
      <c r="A121" s="105">
        <v>107</v>
      </c>
      <c r="B121" s="108"/>
      <c r="C121" s="85"/>
      <c r="D121" s="106"/>
      <c r="E121" s="107"/>
      <c r="F121" s="113"/>
      <c r="G121" s="114"/>
      <c r="H121" s="107"/>
      <c r="I121" s="107"/>
      <c r="J121" s="107"/>
      <c r="K121" s="107"/>
      <c r="L121" s="13"/>
      <c r="M121" s="13"/>
      <c r="N121" s="13"/>
      <c r="O121" s="13"/>
      <c r="P121" s="13"/>
      <c r="Q121" s="13"/>
      <c r="R121" s="13"/>
      <c r="S121" s="13"/>
      <c r="T121" s="13"/>
      <c r="U121" s="13"/>
      <c r="V121" s="13"/>
      <c r="W121" s="13"/>
      <c r="X121" s="13"/>
      <c r="AE121" s="103">
        <f t="shared" si="50"/>
        <v>0</v>
      </c>
      <c r="AF121" s="103">
        <f t="shared" si="36"/>
        <v>0</v>
      </c>
      <c r="AG121" s="103">
        <f t="shared" si="37"/>
        <v>0</v>
      </c>
      <c r="AH121" s="103">
        <f t="shared" si="38"/>
        <v>0</v>
      </c>
      <c r="AI121" s="103">
        <f t="shared" si="39"/>
        <v>0</v>
      </c>
      <c r="AJ121" s="103">
        <f t="shared" si="40"/>
        <v>0</v>
      </c>
      <c r="AK121" s="103">
        <f t="shared" si="41"/>
        <v>0</v>
      </c>
      <c r="AL121" s="103">
        <f t="shared" si="42"/>
        <v>0</v>
      </c>
      <c r="AM121" s="103">
        <f t="shared" si="43"/>
        <v>0</v>
      </c>
      <c r="AN121" s="103">
        <f t="shared" si="44"/>
        <v>0</v>
      </c>
      <c r="AO121" s="103">
        <f t="shared" si="45"/>
        <v>0</v>
      </c>
      <c r="AP121" s="103">
        <f t="shared" si="46"/>
        <v>0</v>
      </c>
      <c r="AQ121" s="103">
        <f t="shared" si="47"/>
        <v>0</v>
      </c>
      <c r="AR121" s="103">
        <f t="shared" si="48"/>
        <v>0</v>
      </c>
      <c r="AS121" s="103"/>
      <c r="AT121" s="103">
        <f t="shared" si="35"/>
        <v>0</v>
      </c>
      <c r="AU121" s="103">
        <f t="shared" si="49"/>
        <v>0</v>
      </c>
      <c r="AV121" s="103">
        <f t="shared" si="51"/>
        <v>0</v>
      </c>
      <c r="AW121" s="103">
        <f t="shared" si="52"/>
        <v>0</v>
      </c>
      <c r="AX121" s="103"/>
      <c r="AY121" s="104">
        <f t="shared" si="53"/>
        <v>0</v>
      </c>
      <c r="AZ121" s="104">
        <f t="shared" si="54"/>
        <v>0</v>
      </c>
      <c r="BA121" s="104">
        <f t="shared" si="55"/>
        <v>0</v>
      </c>
      <c r="BB121" s="104">
        <f t="shared" si="56"/>
        <v>0</v>
      </c>
      <c r="BC121" s="104">
        <f t="shared" si="57"/>
        <v>0</v>
      </c>
      <c r="BD121" s="104">
        <f t="shared" si="58"/>
        <v>0</v>
      </c>
      <c r="BE121" s="104">
        <f t="shared" si="59"/>
        <v>0</v>
      </c>
      <c r="BF121" s="104">
        <f t="shared" si="60"/>
        <v>0</v>
      </c>
      <c r="BG121" s="104">
        <f t="shared" si="61"/>
        <v>0</v>
      </c>
      <c r="BH121" s="104">
        <f t="shared" si="62"/>
        <v>0</v>
      </c>
      <c r="BI121" s="104">
        <f t="shared" si="63"/>
        <v>0</v>
      </c>
      <c r="BJ121" s="104">
        <f t="shared" si="64"/>
        <v>0</v>
      </c>
      <c r="BL121" s="104">
        <f t="shared" si="65"/>
        <v>0</v>
      </c>
      <c r="BM121" s="104">
        <f t="shared" si="66"/>
        <v>0</v>
      </c>
      <c r="BN121" s="104">
        <f t="shared" si="67"/>
        <v>0</v>
      </c>
    </row>
    <row r="122" spans="1:66" s="19" customFormat="1" ht="15" customHeight="1" x14ac:dyDescent="0.3">
      <c r="A122" s="105">
        <v>108</v>
      </c>
      <c r="B122" s="108"/>
      <c r="C122" s="85"/>
      <c r="D122" s="106"/>
      <c r="E122" s="107"/>
      <c r="F122" s="113"/>
      <c r="G122" s="114"/>
      <c r="H122" s="107"/>
      <c r="I122" s="107"/>
      <c r="J122" s="107"/>
      <c r="K122" s="107"/>
      <c r="L122" s="13"/>
      <c r="M122" s="13"/>
      <c r="N122" s="13"/>
      <c r="O122" s="13"/>
      <c r="P122" s="13"/>
      <c r="Q122" s="13"/>
      <c r="R122" s="13"/>
      <c r="S122" s="13"/>
      <c r="T122" s="13"/>
      <c r="U122" s="13"/>
      <c r="V122" s="13"/>
      <c r="W122" s="13"/>
      <c r="X122" s="13"/>
      <c r="AE122" s="103">
        <f t="shared" si="50"/>
        <v>0</v>
      </c>
      <c r="AF122" s="103">
        <f t="shared" si="36"/>
        <v>0</v>
      </c>
      <c r="AG122" s="103">
        <f t="shared" si="37"/>
        <v>0</v>
      </c>
      <c r="AH122" s="103">
        <f t="shared" si="38"/>
        <v>0</v>
      </c>
      <c r="AI122" s="103">
        <f t="shared" si="39"/>
        <v>0</v>
      </c>
      <c r="AJ122" s="103">
        <f t="shared" si="40"/>
        <v>0</v>
      </c>
      <c r="AK122" s="103">
        <f t="shared" si="41"/>
        <v>0</v>
      </c>
      <c r="AL122" s="103">
        <f t="shared" si="42"/>
        <v>0</v>
      </c>
      <c r="AM122" s="103">
        <f t="shared" si="43"/>
        <v>0</v>
      </c>
      <c r="AN122" s="103">
        <f t="shared" si="44"/>
        <v>0</v>
      </c>
      <c r="AO122" s="103">
        <f t="shared" si="45"/>
        <v>0</v>
      </c>
      <c r="AP122" s="103">
        <f t="shared" si="46"/>
        <v>0</v>
      </c>
      <c r="AQ122" s="103">
        <f t="shared" si="47"/>
        <v>0</v>
      </c>
      <c r="AR122" s="103">
        <f t="shared" si="48"/>
        <v>0</v>
      </c>
      <c r="AS122" s="103"/>
      <c r="AT122" s="103">
        <f t="shared" si="35"/>
        <v>0</v>
      </c>
      <c r="AU122" s="103">
        <f t="shared" si="49"/>
        <v>0</v>
      </c>
      <c r="AV122" s="103">
        <f t="shared" si="51"/>
        <v>0</v>
      </c>
      <c r="AW122" s="103">
        <f t="shared" si="52"/>
        <v>0</v>
      </c>
      <c r="AX122" s="103"/>
      <c r="AY122" s="104">
        <f t="shared" si="53"/>
        <v>0</v>
      </c>
      <c r="AZ122" s="104">
        <f t="shared" si="54"/>
        <v>0</v>
      </c>
      <c r="BA122" s="104">
        <f t="shared" si="55"/>
        <v>0</v>
      </c>
      <c r="BB122" s="104">
        <f t="shared" si="56"/>
        <v>0</v>
      </c>
      <c r="BC122" s="104">
        <f t="shared" si="57"/>
        <v>0</v>
      </c>
      <c r="BD122" s="104">
        <f t="shared" si="58"/>
        <v>0</v>
      </c>
      <c r="BE122" s="104">
        <f t="shared" si="59"/>
        <v>0</v>
      </c>
      <c r="BF122" s="104">
        <f t="shared" si="60"/>
        <v>0</v>
      </c>
      <c r="BG122" s="104">
        <f t="shared" si="61"/>
        <v>0</v>
      </c>
      <c r="BH122" s="104">
        <f t="shared" si="62"/>
        <v>0</v>
      </c>
      <c r="BI122" s="104">
        <f t="shared" si="63"/>
        <v>0</v>
      </c>
      <c r="BJ122" s="104">
        <f t="shared" si="64"/>
        <v>0</v>
      </c>
      <c r="BL122" s="104">
        <f t="shared" si="65"/>
        <v>0</v>
      </c>
      <c r="BM122" s="104">
        <f t="shared" si="66"/>
        <v>0</v>
      </c>
      <c r="BN122" s="104">
        <f t="shared" si="67"/>
        <v>0</v>
      </c>
    </row>
    <row r="123" spans="1:66" s="19" customFormat="1" ht="15" customHeight="1" x14ac:dyDescent="0.3">
      <c r="A123" s="105">
        <v>109</v>
      </c>
      <c r="B123" s="108"/>
      <c r="C123" s="85"/>
      <c r="D123" s="106"/>
      <c r="E123" s="107"/>
      <c r="F123" s="113"/>
      <c r="G123" s="114"/>
      <c r="H123" s="107"/>
      <c r="I123" s="107"/>
      <c r="J123" s="107"/>
      <c r="K123" s="107"/>
      <c r="L123" s="13"/>
      <c r="M123" s="13"/>
      <c r="N123" s="13"/>
      <c r="O123" s="13"/>
      <c r="P123" s="13"/>
      <c r="Q123" s="13"/>
      <c r="R123" s="13"/>
      <c r="S123" s="13"/>
      <c r="T123" s="13"/>
      <c r="U123" s="13"/>
      <c r="V123" s="13"/>
      <c r="W123" s="13"/>
      <c r="X123" s="13"/>
      <c r="AE123" s="103">
        <f t="shared" si="50"/>
        <v>0</v>
      </c>
      <c r="AF123" s="103">
        <f t="shared" si="36"/>
        <v>0</v>
      </c>
      <c r="AG123" s="103">
        <f t="shared" si="37"/>
        <v>0</v>
      </c>
      <c r="AH123" s="103">
        <f t="shared" si="38"/>
        <v>0</v>
      </c>
      <c r="AI123" s="103">
        <f t="shared" si="39"/>
        <v>0</v>
      </c>
      <c r="AJ123" s="103">
        <f t="shared" si="40"/>
        <v>0</v>
      </c>
      <c r="AK123" s="103">
        <f t="shared" si="41"/>
        <v>0</v>
      </c>
      <c r="AL123" s="103">
        <f t="shared" si="42"/>
        <v>0</v>
      </c>
      <c r="AM123" s="103">
        <f t="shared" si="43"/>
        <v>0</v>
      </c>
      <c r="AN123" s="103">
        <f t="shared" si="44"/>
        <v>0</v>
      </c>
      <c r="AO123" s="103">
        <f t="shared" si="45"/>
        <v>0</v>
      </c>
      <c r="AP123" s="103">
        <f t="shared" si="46"/>
        <v>0</v>
      </c>
      <c r="AQ123" s="103">
        <f t="shared" si="47"/>
        <v>0</v>
      </c>
      <c r="AR123" s="103">
        <f t="shared" si="48"/>
        <v>0</v>
      </c>
      <c r="AS123" s="103"/>
      <c r="AT123" s="103">
        <f t="shared" si="35"/>
        <v>0</v>
      </c>
      <c r="AU123" s="103">
        <f t="shared" si="49"/>
        <v>0</v>
      </c>
      <c r="AV123" s="103">
        <f t="shared" si="51"/>
        <v>0</v>
      </c>
      <c r="AW123" s="103">
        <f t="shared" si="52"/>
        <v>0</v>
      </c>
      <c r="AX123" s="103"/>
      <c r="AY123" s="104">
        <f t="shared" si="53"/>
        <v>0</v>
      </c>
      <c r="AZ123" s="104">
        <f t="shared" si="54"/>
        <v>0</v>
      </c>
      <c r="BA123" s="104">
        <f t="shared" si="55"/>
        <v>0</v>
      </c>
      <c r="BB123" s="104">
        <f t="shared" si="56"/>
        <v>0</v>
      </c>
      <c r="BC123" s="104">
        <f t="shared" si="57"/>
        <v>0</v>
      </c>
      <c r="BD123" s="104">
        <f t="shared" si="58"/>
        <v>0</v>
      </c>
      <c r="BE123" s="104">
        <f t="shared" si="59"/>
        <v>0</v>
      </c>
      <c r="BF123" s="104">
        <f t="shared" si="60"/>
        <v>0</v>
      </c>
      <c r="BG123" s="104">
        <f t="shared" si="61"/>
        <v>0</v>
      </c>
      <c r="BH123" s="104">
        <f t="shared" si="62"/>
        <v>0</v>
      </c>
      <c r="BI123" s="104">
        <f t="shared" si="63"/>
        <v>0</v>
      </c>
      <c r="BJ123" s="104">
        <f t="shared" si="64"/>
        <v>0</v>
      </c>
      <c r="BL123" s="104">
        <f t="shared" si="65"/>
        <v>0</v>
      </c>
      <c r="BM123" s="104">
        <f t="shared" si="66"/>
        <v>0</v>
      </c>
      <c r="BN123" s="104">
        <f t="shared" si="67"/>
        <v>0</v>
      </c>
    </row>
    <row r="124" spans="1:66" s="19" customFormat="1" ht="15" customHeight="1" x14ac:dyDescent="0.3">
      <c r="A124" s="105">
        <v>110</v>
      </c>
      <c r="B124" s="108"/>
      <c r="C124" s="85"/>
      <c r="D124" s="106"/>
      <c r="E124" s="107"/>
      <c r="F124" s="113"/>
      <c r="G124" s="114"/>
      <c r="H124" s="107"/>
      <c r="I124" s="107"/>
      <c r="J124" s="107"/>
      <c r="K124" s="107"/>
      <c r="L124" s="13"/>
      <c r="M124" s="13"/>
      <c r="N124" s="13"/>
      <c r="O124" s="13"/>
      <c r="P124" s="13"/>
      <c r="Q124" s="13"/>
      <c r="R124" s="13"/>
      <c r="S124" s="13"/>
      <c r="T124" s="13"/>
      <c r="U124" s="13"/>
      <c r="V124" s="13"/>
      <c r="W124" s="13"/>
      <c r="X124" s="13"/>
      <c r="AE124" s="103">
        <f t="shared" si="50"/>
        <v>0</v>
      </c>
      <c r="AF124" s="103">
        <f t="shared" si="36"/>
        <v>0</v>
      </c>
      <c r="AG124" s="103">
        <f t="shared" si="37"/>
        <v>0</v>
      </c>
      <c r="AH124" s="103">
        <f t="shared" si="38"/>
        <v>0</v>
      </c>
      <c r="AI124" s="103">
        <f t="shared" si="39"/>
        <v>0</v>
      </c>
      <c r="AJ124" s="103">
        <f t="shared" si="40"/>
        <v>0</v>
      </c>
      <c r="AK124" s="103">
        <f t="shared" si="41"/>
        <v>0</v>
      </c>
      <c r="AL124" s="103">
        <f t="shared" si="42"/>
        <v>0</v>
      </c>
      <c r="AM124" s="103">
        <f t="shared" si="43"/>
        <v>0</v>
      </c>
      <c r="AN124" s="103">
        <f t="shared" si="44"/>
        <v>0</v>
      </c>
      <c r="AO124" s="103">
        <f t="shared" si="45"/>
        <v>0</v>
      </c>
      <c r="AP124" s="103">
        <f t="shared" si="46"/>
        <v>0</v>
      </c>
      <c r="AQ124" s="103">
        <f t="shared" si="47"/>
        <v>0</v>
      </c>
      <c r="AR124" s="103">
        <f t="shared" si="48"/>
        <v>0</v>
      </c>
      <c r="AS124" s="103"/>
      <c r="AT124" s="103">
        <f t="shared" si="35"/>
        <v>0</v>
      </c>
      <c r="AU124" s="103">
        <f t="shared" si="49"/>
        <v>0</v>
      </c>
      <c r="AV124" s="103">
        <f t="shared" si="51"/>
        <v>0</v>
      </c>
      <c r="AW124" s="103">
        <f t="shared" si="52"/>
        <v>0</v>
      </c>
      <c r="AX124" s="103"/>
      <c r="AY124" s="104">
        <f t="shared" si="53"/>
        <v>0</v>
      </c>
      <c r="AZ124" s="104">
        <f t="shared" si="54"/>
        <v>0</v>
      </c>
      <c r="BA124" s="104">
        <f t="shared" si="55"/>
        <v>0</v>
      </c>
      <c r="BB124" s="104">
        <f t="shared" si="56"/>
        <v>0</v>
      </c>
      <c r="BC124" s="104">
        <f t="shared" si="57"/>
        <v>0</v>
      </c>
      <c r="BD124" s="104">
        <f t="shared" si="58"/>
        <v>0</v>
      </c>
      <c r="BE124" s="104">
        <f t="shared" si="59"/>
        <v>0</v>
      </c>
      <c r="BF124" s="104">
        <f t="shared" si="60"/>
        <v>0</v>
      </c>
      <c r="BG124" s="104">
        <f t="shared" si="61"/>
        <v>0</v>
      </c>
      <c r="BH124" s="104">
        <f t="shared" si="62"/>
        <v>0</v>
      </c>
      <c r="BI124" s="104">
        <f t="shared" si="63"/>
        <v>0</v>
      </c>
      <c r="BJ124" s="104">
        <f t="shared" si="64"/>
        <v>0</v>
      </c>
      <c r="BL124" s="104">
        <f t="shared" si="65"/>
        <v>0</v>
      </c>
      <c r="BM124" s="104">
        <f t="shared" si="66"/>
        <v>0</v>
      </c>
      <c r="BN124" s="104">
        <f t="shared" si="67"/>
        <v>0</v>
      </c>
    </row>
    <row r="125" spans="1:66" s="19" customFormat="1" ht="15" customHeight="1" x14ac:dyDescent="0.3">
      <c r="A125" s="105">
        <v>111</v>
      </c>
      <c r="B125" s="108"/>
      <c r="C125" s="85"/>
      <c r="D125" s="106"/>
      <c r="E125" s="107"/>
      <c r="F125" s="113"/>
      <c r="G125" s="114"/>
      <c r="H125" s="107"/>
      <c r="I125" s="107"/>
      <c r="J125" s="107"/>
      <c r="K125" s="107"/>
      <c r="L125" s="13"/>
      <c r="M125" s="13"/>
      <c r="N125" s="13"/>
      <c r="O125" s="13"/>
      <c r="P125" s="13"/>
      <c r="Q125" s="13"/>
      <c r="R125" s="13"/>
      <c r="S125" s="13"/>
      <c r="T125" s="13"/>
      <c r="U125" s="13"/>
      <c r="V125" s="13"/>
      <c r="W125" s="13"/>
      <c r="X125" s="13"/>
      <c r="AE125" s="103">
        <f t="shared" si="50"/>
        <v>0</v>
      </c>
      <c r="AF125" s="103">
        <f t="shared" si="36"/>
        <v>0</v>
      </c>
      <c r="AG125" s="103">
        <f t="shared" si="37"/>
        <v>0</v>
      </c>
      <c r="AH125" s="103">
        <f t="shared" si="38"/>
        <v>0</v>
      </c>
      <c r="AI125" s="103">
        <f t="shared" si="39"/>
        <v>0</v>
      </c>
      <c r="AJ125" s="103">
        <f t="shared" si="40"/>
        <v>0</v>
      </c>
      <c r="AK125" s="103">
        <f t="shared" si="41"/>
        <v>0</v>
      </c>
      <c r="AL125" s="103">
        <f t="shared" si="42"/>
        <v>0</v>
      </c>
      <c r="AM125" s="103">
        <f t="shared" si="43"/>
        <v>0</v>
      </c>
      <c r="AN125" s="103">
        <f t="shared" si="44"/>
        <v>0</v>
      </c>
      <c r="AO125" s="103">
        <f t="shared" si="45"/>
        <v>0</v>
      </c>
      <c r="AP125" s="103">
        <f t="shared" si="46"/>
        <v>0</v>
      </c>
      <c r="AQ125" s="103">
        <f t="shared" si="47"/>
        <v>0</v>
      </c>
      <c r="AR125" s="103">
        <f t="shared" si="48"/>
        <v>0</v>
      </c>
      <c r="AS125" s="103"/>
      <c r="AT125" s="103">
        <f t="shared" si="35"/>
        <v>0</v>
      </c>
      <c r="AU125" s="103">
        <f t="shared" si="49"/>
        <v>0</v>
      </c>
      <c r="AV125" s="103">
        <f t="shared" si="51"/>
        <v>0</v>
      </c>
      <c r="AW125" s="103">
        <f t="shared" si="52"/>
        <v>0</v>
      </c>
      <c r="AX125" s="103"/>
      <c r="AY125" s="104">
        <f t="shared" si="53"/>
        <v>0</v>
      </c>
      <c r="AZ125" s="104">
        <f t="shared" si="54"/>
        <v>0</v>
      </c>
      <c r="BA125" s="104">
        <f t="shared" si="55"/>
        <v>0</v>
      </c>
      <c r="BB125" s="104">
        <f t="shared" si="56"/>
        <v>0</v>
      </c>
      <c r="BC125" s="104">
        <f t="shared" si="57"/>
        <v>0</v>
      </c>
      <c r="BD125" s="104">
        <f t="shared" si="58"/>
        <v>0</v>
      </c>
      <c r="BE125" s="104">
        <f t="shared" si="59"/>
        <v>0</v>
      </c>
      <c r="BF125" s="104">
        <f t="shared" si="60"/>
        <v>0</v>
      </c>
      <c r="BG125" s="104">
        <f t="shared" si="61"/>
        <v>0</v>
      </c>
      <c r="BH125" s="104">
        <f t="shared" si="62"/>
        <v>0</v>
      </c>
      <c r="BI125" s="104">
        <f t="shared" si="63"/>
        <v>0</v>
      </c>
      <c r="BJ125" s="104">
        <f t="shared" si="64"/>
        <v>0</v>
      </c>
      <c r="BL125" s="104">
        <f t="shared" si="65"/>
        <v>0</v>
      </c>
      <c r="BM125" s="104">
        <f t="shared" si="66"/>
        <v>0</v>
      </c>
      <c r="BN125" s="104">
        <f t="shared" si="67"/>
        <v>0</v>
      </c>
    </row>
    <row r="126" spans="1:66" s="19" customFormat="1" ht="15" customHeight="1" x14ac:dyDescent="0.3">
      <c r="A126" s="105">
        <v>112</v>
      </c>
      <c r="B126" s="108"/>
      <c r="C126" s="85"/>
      <c r="D126" s="106"/>
      <c r="E126" s="107"/>
      <c r="F126" s="113"/>
      <c r="G126" s="114"/>
      <c r="H126" s="107"/>
      <c r="I126" s="107"/>
      <c r="J126" s="107"/>
      <c r="K126" s="107"/>
      <c r="L126" s="13"/>
      <c r="M126" s="13"/>
      <c r="N126" s="13"/>
      <c r="O126" s="13"/>
      <c r="P126" s="13"/>
      <c r="Q126" s="13"/>
      <c r="R126" s="13"/>
      <c r="S126" s="13"/>
      <c r="T126" s="13"/>
      <c r="U126" s="13"/>
      <c r="V126" s="13"/>
      <c r="W126" s="13"/>
      <c r="X126" s="13"/>
      <c r="AE126" s="103">
        <f t="shared" si="50"/>
        <v>0</v>
      </c>
      <c r="AF126" s="103">
        <f t="shared" si="36"/>
        <v>0</v>
      </c>
      <c r="AG126" s="103">
        <f t="shared" si="37"/>
        <v>0</v>
      </c>
      <c r="AH126" s="103">
        <f t="shared" si="38"/>
        <v>0</v>
      </c>
      <c r="AI126" s="103">
        <f t="shared" si="39"/>
        <v>0</v>
      </c>
      <c r="AJ126" s="103">
        <f t="shared" si="40"/>
        <v>0</v>
      </c>
      <c r="AK126" s="103">
        <f t="shared" si="41"/>
        <v>0</v>
      </c>
      <c r="AL126" s="103">
        <f t="shared" si="42"/>
        <v>0</v>
      </c>
      <c r="AM126" s="103">
        <f t="shared" si="43"/>
        <v>0</v>
      </c>
      <c r="AN126" s="103">
        <f t="shared" si="44"/>
        <v>0</v>
      </c>
      <c r="AO126" s="103">
        <f t="shared" si="45"/>
        <v>0</v>
      </c>
      <c r="AP126" s="103">
        <f t="shared" si="46"/>
        <v>0</v>
      </c>
      <c r="AQ126" s="103">
        <f t="shared" si="47"/>
        <v>0</v>
      </c>
      <c r="AR126" s="103">
        <f t="shared" si="48"/>
        <v>0</v>
      </c>
      <c r="AS126" s="103"/>
      <c r="AT126" s="103">
        <f t="shared" si="35"/>
        <v>0</v>
      </c>
      <c r="AU126" s="103">
        <f t="shared" si="49"/>
        <v>0</v>
      </c>
      <c r="AV126" s="103">
        <f t="shared" si="51"/>
        <v>0</v>
      </c>
      <c r="AW126" s="103">
        <f t="shared" si="52"/>
        <v>0</v>
      </c>
      <c r="AX126" s="103"/>
      <c r="AY126" s="104">
        <f t="shared" si="53"/>
        <v>0</v>
      </c>
      <c r="AZ126" s="104">
        <f t="shared" si="54"/>
        <v>0</v>
      </c>
      <c r="BA126" s="104">
        <f t="shared" si="55"/>
        <v>0</v>
      </c>
      <c r="BB126" s="104">
        <f t="shared" si="56"/>
        <v>0</v>
      </c>
      <c r="BC126" s="104">
        <f t="shared" si="57"/>
        <v>0</v>
      </c>
      <c r="BD126" s="104">
        <f t="shared" si="58"/>
        <v>0</v>
      </c>
      <c r="BE126" s="104">
        <f t="shared" si="59"/>
        <v>0</v>
      </c>
      <c r="BF126" s="104">
        <f t="shared" si="60"/>
        <v>0</v>
      </c>
      <c r="BG126" s="104">
        <f t="shared" si="61"/>
        <v>0</v>
      </c>
      <c r="BH126" s="104">
        <f t="shared" si="62"/>
        <v>0</v>
      </c>
      <c r="BI126" s="104">
        <f t="shared" si="63"/>
        <v>0</v>
      </c>
      <c r="BJ126" s="104">
        <f t="shared" si="64"/>
        <v>0</v>
      </c>
      <c r="BL126" s="104">
        <f t="shared" si="65"/>
        <v>0</v>
      </c>
      <c r="BM126" s="104">
        <f t="shared" si="66"/>
        <v>0</v>
      </c>
      <c r="BN126" s="104">
        <f t="shared" si="67"/>
        <v>0</v>
      </c>
    </row>
    <row r="127" spans="1:66" s="19" customFormat="1" ht="15" customHeight="1" x14ac:dyDescent="0.3">
      <c r="A127" s="105">
        <v>113</v>
      </c>
      <c r="B127" s="108"/>
      <c r="C127" s="85"/>
      <c r="D127" s="106"/>
      <c r="E127" s="107"/>
      <c r="F127" s="113"/>
      <c r="G127" s="114"/>
      <c r="H127" s="107"/>
      <c r="I127" s="107"/>
      <c r="J127" s="107"/>
      <c r="K127" s="107"/>
      <c r="L127" s="13"/>
      <c r="M127" s="13"/>
      <c r="N127" s="13"/>
      <c r="O127" s="13"/>
      <c r="P127" s="13"/>
      <c r="Q127" s="13"/>
      <c r="R127" s="13"/>
      <c r="S127" s="13"/>
      <c r="T127" s="13"/>
      <c r="U127" s="13"/>
      <c r="V127" s="13"/>
      <c r="W127" s="13"/>
      <c r="X127" s="13"/>
      <c r="AE127" s="103">
        <f t="shared" si="50"/>
        <v>0</v>
      </c>
      <c r="AF127" s="103">
        <f t="shared" si="36"/>
        <v>0</v>
      </c>
      <c r="AG127" s="103">
        <f t="shared" si="37"/>
        <v>0</v>
      </c>
      <c r="AH127" s="103">
        <f t="shared" si="38"/>
        <v>0</v>
      </c>
      <c r="AI127" s="103">
        <f t="shared" si="39"/>
        <v>0</v>
      </c>
      <c r="AJ127" s="103">
        <f t="shared" si="40"/>
        <v>0</v>
      </c>
      <c r="AK127" s="103">
        <f t="shared" si="41"/>
        <v>0</v>
      </c>
      <c r="AL127" s="103">
        <f t="shared" si="42"/>
        <v>0</v>
      </c>
      <c r="AM127" s="103">
        <f t="shared" si="43"/>
        <v>0</v>
      </c>
      <c r="AN127" s="103">
        <f t="shared" si="44"/>
        <v>0</v>
      </c>
      <c r="AO127" s="103">
        <f t="shared" si="45"/>
        <v>0</v>
      </c>
      <c r="AP127" s="103">
        <f t="shared" si="46"/>
        <v>0</v>
      </c>
      <c r="AQ127" s="103">
        <f t="shared" si="47"/>
        <v>0</v>
      </c>
      <c r="AR127" s="103">
        <f t="shared" si="48"/>
        <v>0</v>
      </c>
      <c r="AS127" s="103"/>
      <c r="AT127" s="103">
        <f t="shared" si="35"/>
        <v>0</v>
      </c>
      <c r="AU127" s="103">
        <f t="shared" si="49"/>
        <v>0</v>
      </c>
      <c r="AV127" s="103">
        <f t="shared" si="51"/>
        <v>0</v>
      </c>
      <c r="AW127" s="103">
        <f t="shared" si="52"/>
        <v>0</v>
      </c>
      <c r="AX127" s="103"/>
      <c r="AY127" s="104">
        <f t="shared" si="53"/>
        <v>0</v>
      </c>
      <c r="AZ127" s="104">
        <f t="shared" si="54"/>
        <v>0</v>
      </c>
      <c r="BA127" s="104">
        <f t="shared" si="55"/>
        <v>0</v>
      </c>
      <c r="BB127" s="104">
        <f t="shared" si="56"/>
        <v>0</v>
      </c>
      <c r="BC127" s="104">
        <f t="shared" si="57"/>
        <v>0</v>
      </c>
      <c r="BD127" s="104">
        <f t="shared" si="58"/>
        <v>0</v>
      </c>
      <c r="BE127" s="104">
        <f t="shared" si="59"/>
        <v>0</v>
      </c>
      <c r="BF127" s="104">
        <f t="shared" si="60"/>
        <v>0</v>
      </c>
      <c r="BG127" s="104">
        <f t="shared" si="61"/>
        <v>0</v>
      </c>
      <c r="BH127" s="104">
        <f t="shared" si="62"/>
        <v>0</v>
      </c>
      <c r="BI127" s="104">
        <f t="shared" si="63"/>
        <v>0</v>
      </c>
      <c r="BJ127" s="104">
        <f t="shared" si="64"/>
        <v>0</v>
      </c>
      <c r="BL127" s="104">
        <f t="shared" si="65"/>
        <v>0</v>
      </c>
      <c r="BM127" s="104">
        <f t="shared" si="66"/>
        <v>0</v>
      </c>
      <c r="BN127" s="104">
        <f t="shared" si="67"/>
        <v>0</v>
      </c>
    </row>
    <row r="128" spans="1:66" s="19" customFormat="1" ht="15" customHeight="1" x14ac:dyDescent="0.3">
      <c r="A128" s="105">
        <v>114</v>
      </c>
      <c r="B128" s="108"/>
      <c r="C128" s="85"/>
      <c r="D128" s="106"/>
      <c r="E128" s="107"/>
      <c r="F128" s="113"/>
      <c r="G128" s="114"/>
      <c r="H128" s="107"/>
      <c r="I128" s="107"/>
      <c r="J128" s="107"/>
      <c r="K128" s="107"/>
      <c r="L128" s="13"/>
      <c r="M128" s="13"/>
      <c r="N128" s="13"/>
      <c r="O128" s="13"/>
      <c r="P128" s="13"/>
      <c r="Q128" s="13"/>
      <c r="R128" s="13"/>
      <c r="S128" s="13"/>
      <c r="T128" s="13"/>
      <c r="U128" s="13"/>
      <c r="V128" s="13"/>
      <c r="W128" s="13"/>
      <c r="X128" s="13"/>
      <c r="AE128" s="103">
        <f t="shared" si="50"/>
        <v>0</v>
      </c>
      <c r="AF128" s="103">
        <f t="shared" si="36"/>
        <v>0</v>
      </c>
      <c r="AG128" s="103">
        <f t="shared" si="37"/>
        <v>0</v>
      </c>
      <c r="AH128" s="103">
        <f t="shared" si="38"/>
        <v>0</v>
      </c>
      <c r="AI128" s="103">
        <f t="shared" si="39"/>
        <v>0</v>
      </c>
      <c r="AJ128" s="103">
        <f t="shared" si="40"/>
        <v>0</v>
      </c>
      <c r="AK128" s="103">
        <f t="shared" si="41"/>
        <v>0</v>
      </c>
      <c r="AL128" s="103">
        <f t="shared" si="42"/>
        <v>0</v>
      </c>
      <c r="AM128" s="103">
        <f t="shared" si="43"/>
        <v>0</v>
      </c>
      <c r="AN128" s="103">
        <f t="shared" si="44"/>
        <v>0</v>
      </c>
      <c r="AO128" s="103">
        <f t="shared" si="45"/>
        <v>0</v>
      </c>
      <c r="AP128" s="103">
        <f t="shared" si="46"/>
        <v>0</v>
      </c>
      <c r="AQ128" s="103">
        <f t="shared" si="47"/>
        <v>0</v>
      </c>
      <c r="AR128" s="103">
        <f t="shared" si="48"/>
        <v>0</v>
      </c>
      <c r="AS128" s="103"/>
      <c r="AT128" s="103">
        <f t="shared" si="35"/>
        <v>0</v>
      </c>
      <c r="AU128" s="103">
        <f t="shared" si="49"/>
        <v>0</v>
      </c>
      <c r="AV128" s="103">
        <f t="shared" si="51"/>
        <v>0</v>
      </c>
      <c r="AW128" s="103">
        <f t="shared" si="52"/>
        <v>0</v>
      </c>
      <c r="AX128" s="103"/>
      <c r="AY128" s="104">
        <f t="shared" si="53"/>
        <v>0</v>
      </c>
      <c r="AZ128" s="104">
        <f t="shared" si="54"/>
        <v>0</v>
      </c>
      <c r="BA128" s="104">
        <f t="shared" si="55"/>
        <v>0</v>
      </c>
      <c r="BB128" s="104">
        <f t="shared" si="56"/>
        <v>0</v>
      </c>
      <c r="BC128" s="104">
        <f t="shared" si="57"/>
        <v>0</v>
      </c>
      <c r="BD128" s="104">
        <f t="shared" si="58"/>
        <v>0</v>
      </c>
      <c r="BE128" s="104">
        <f t="shared" si="59"/>
        <v>0</v>
      </c>
      <c r="BF128" s="104">
        <f t="shared" si="60"/>
        <v>0</v>
      </c>
      <c r="BG128" s="104">
        <f t="shared" si="61"/>
        <v>0</v>
      </c>
      <c r="BH128" s="104">
        <f t="shared" si="62"/>
        <v>0</v>
      </c>
      <c r="BI128" s="104">
        <f t="shared" si="63"/>
        <v>0</v>
      </c>
      <c r="BJ128" s="104">
        <f t="shared" si="64"/>
        <v>0</v>
      </c>
      <c r="BL128" s="104">
        <f t="shared" si="65"/>
        <v>0</v>
      </c>
      <c r="BM128" s="104">
        <f t="shared" si="66"/>
        <v>0</v>
      </c>
      <c r="BN128" s="104">
        <f t="shared" si="67"/>
        <v>0</v>
      </c>
    </row>
    <row r="129" spans="1:66" s="19" customFormat="1" ht="15" customHeight="1" x14ac:dyDescent="0.3">
      <c r="A129" s="105">
        <v>115</v>
      </c>
      <c r="B129" s="108"/>
      <c r="C129" s="85"/>
      <c r="D129" s="106"/>
      <c r="E129" s="107"/>
      <c r="F129" s="113"/>
      <c r="G129" s="114"/>
      <c r="H129" s="107"/>
      <c r="I129" s="107"/>
      <c r="J129" s="107"/>
      <c r="K129" s="107"/>
      <c r="L129" s="13"/>
      <c r="M129" s="13"/>
      <c r="N129" s="13"/>
      <c r="O129" s="13"/>
      <c r="P129" s="13"/>
      <c r="Q129" s="13"/>
      <c r="R129" s="13"/>
      <c r="S129" s="13"/>
      <c r="T129" s="13"/>
      <c r="U129" s="13"/>
      <c r="V129" s="13"/>
      <c r="W129" s="13"/>
      <c r="X129" s="13"/>
      <c r="AE129" s="103">
        <f t="shared" si="50"/>
        <v>0</v>
      </c>
      <c r="AF129" s="103">
        <f t="shared" si="36"/>
        <v>0</v>
      </c>
      <c r="AG129" s="103">
        <f t="shared" si="37"/>
        <v>0</v>
      </c>
      <c r="AH129" s="103">
        <f t="shared" si="38"/>
        <v>0</v>
      </c>
      <c r="AI129" s="103">
        <f t="shared" si="39"/>
        <v>0</v>
      </c>
      <c r="AJ129" s="103">
        <f t="shared" si="40"/>
        <v>0</v>
      </c>
      <c r="AK129" s="103">
        <f t="shared" si="41"/>
        <v>0</v>
      </c>
      <c r="AL129" s="103">
        <f t="shared" si="42"/>
        <v>0</v>
      </c>
      <c r="AM129" s="103">
        <f t="shared" si="43"/>
        <v>0</v>
      </c>
      <c r="AN129" s="103">
        <f t="shared" si="44"/>
        <v>0</v>
      </c>
      <c r="AO129" s="103">
        <f t="shared" si="45"/>
        <v>0</v>
      </c>
      <c r="AP129" s="103">
        <f t="shared" si="46"/>
        <v>0</v>
      </c>
      <c r="AQ129" s="103">
        <f t="shared" si="47"/>
        <v>0</v>
      </c>
      <c r="AR129" s="103">
        <f t="shared" si="48"/>
        <v>0</v>
      </c>
      <c r="AS129" s="103"/>
      <c r="AT129" s="103">
        <f t="shared" si="35"/>
        <v>0</v>
      </c>
      <c r="AU129" s="103">
        <f t="shared" si="49"/>
        <v>0</v>
      </c>
      <c r="AV129" s="103">
        <f t="shared" si="51"/>
        <v>0</v>
      </c>
      <c r="AW129" s="103">
        <f t="shared" si="52"/>
        <v>0</v>
      </c>
      <c r="AX129" s="103"/>
      <c r="AY129" s="104">
        <f t="shared" si="53"/>
        <v>0</v>
      </c>
      <c r="AZ129" s="104">
        <f t="shared" si="54"/>
        <v>0</v>
      </c>
      <c r="BA129" s="104">
        <f t="shared" si="55"/>
        <v>0</v>
      </c>
      <c r="BB129" s="104">
        <f t="shared" si="56"/>
        <v>0</v>
      </c>
      <c r="BC129" s="104">
        <f t="shared" si="57"/>
        <v>0</v>
      </c>
      <c r="BD129" s="104">
        <f t="shared" si="58"/>
        <v>0</v>
      </c>
      <c r="BE129" s="104">
        <f t="shared" si="59"/>
        <v>0</v>
      </c>
      <c r="BF129" s="104">
        <f t="shared" si="60"/>
        <v>0</v>
      </c>
      <c r="BG129" s="104">
        <f t="shared" si="61"/>
        <v>0</v>
      </c>
      <c r="BH129" s="104">
        <f t="shared" si="62"/>
        <v>0</v>
      </c>
      <c r="BI129" s="104">
        <f t="shared" si="63"/>
        <v>0</v>
      </c>
      <c r="BJ129" s="104">
        <f t="shared" si="64"/>
        <v>0</v>
      </c>
      <c r="BL129" s="104">
        <f t="shared" si="65"/>
        <v>0</v>
      </c>
      <c r="BM129" s="104">
        <f t="shared" si="66"/>
        <v>0</v>
      </c>
      <c r="BN129" s="104">
        <f t="shared" si="67"/>
        <v>0</v>
      </c>
    </row>
    <row r="130" spans="1:66" s="19" customFormat="1" ht="15" customHeight="1" x14ac:dyDescent="0.3">
      <c r="A130" s="105">
        <v>116</v>
      </c>
      <c r="B130" s="108"/>
      <c r="C130" s="85"/>
      <c r="D130" s="106"/>
      <c r="E130" s="107"/>
      <c r="F130" s="113"/>
      <c r="G130" s="114"/>
      <c r="H130" s="107"/>
      <c r="I130" s="107"/>
      <c r="J130" s="107"/>
      <c r="K130" s="107"/>
      <c r="L130" s="13"/>
      <c r="M130" s="13"/>
      <c r="N130" s="13"/>
      <c r="O130" s="13"/>
      <c r="P130" s="13"/>
      <c r="Q130" s="13"/>
      <c r="R130" s="13"/>
      <c r="S130" s="13"/>
      <c r="T130" s="13"/>
      <c r="U130" s="13"/>
      <c r="V130" s="13"/>
      <c r="W130" s="13"/>
      <c r="X130" s="13"/>
      <c r="AE130" s="103">
        <f t="shared" si="50"/>
        <v>0</v>
      </c>
      <c r="AF130" s="103">
        <f t="shared" si="36"/>
        <v>0</v>
      </c>
      <c r="AG130" s="103">
        <f t="shared" si="37"/>
        <v>0</v>
      </c>
      <c r="AH130" s="103">
        <f t="shared" si="38"/>
        <v>0</v>
      </c>
      <c r="AI130" s="103">
        <f t="shared" si="39"/>
        <v>0</v>
      </c>
      <c r="AJ130" s="103">
        <f t="shared" si="40"/>
        <v>0</v>
      </c>
      <c r="AK130" s="103">
        <f t="shared" si="41"/>
        <v>0</v>
      </c>
      <c r="AL130" s="103">
        <f t="shared" si="42"/>
        <v>0</v>
      </c>
      <c r="AM130" s="103">
        <f t="shared" si="43"/>
        <v>0</v>
      </c>
      <c r="AN130" s="103">
        <f t="shared" si="44"/>
        <v>0</v>
      </c>
      <c r="AO130" s="103">
        <f t="shared" si="45"/>
        <v>0</v>
      </c>
      <c r="AP130" s="103">
        <f t="shared" si="46"/>
        <v>0</v>
      </c>
      <c r="AQ130" s="103">
        <f t="shared" si="47"/>
        <v>0</v>
      </c>
      <c r="AR130" s="103">
        <f t="shared" si="48"/>
        <v>0</v>
      </c>
      <c r="AS130" s="103"/>
      <c r="AT130" s="103">
        <f t="shared" si="35"/>
        <v>0</v>
      </c>
      <c r="AU130" s="103">
        <f t="shared" si="49"/>
        <v>0</v>
      </c>
      <c r="AV130" s="103">
        <f t="shared" si="51"/>
        <v>0</v>
      </c>
      <c r="AW130" s="103">
        <f t="shared" si="52"/>
        <v>0</v>
      </c>
      <c r="AX130" s="103"/>
      <c r="AY130" s="104">
        <f t="shared" si="53"/>
        <v>0</v>
      </c>
      <c r="AZ130" s="104">
        <f t="shared" si="54"/>
        <v>0</v>
      </c>
      <c r="BA130" s="104">
        <f t="shared" si="55"/>
        <v>0</v>
      </c>
      <c r="BB130" s="104">
        <f t="shared" si="56"/>
        <v>0</v>
      </c>
      <c r="BC130" s="104">
        <f t="shared" si="57"/>
        <v>0</v>
      </c>
      <c r="BD130" s="104">
        <f t="shared" si="58"/>
        <v>0</v>
      </c>
      <c r="BE130" s="104">
        <f t="shared" si="59"/>
        <v>0</v>
      </c>
      <c r="BF130" s="104">
        <f t="shared" si="60"/>
        <v>0</v>
      </c>
      <c r="BG130" s="104">
        <f t="shared" si="61"/>
        <v>0</v>
      </c>
      <c r="BH130" s="104">
        <f t="shared" si="62"/>
        <v>0</v>
      </c>
      <c r="BI130" s="104">
        <f t="shared" si="63"/>
        <v>0</v>
      </c>
      <c r="BJ130" s="104">
        <f t="shared" si="64"/>
        <v>0</v>
      </c>
      <c r="BL130" s="104">
        <f t="shared" si="65"/>
        <v>0</v>
      </c>
      <c r="BM130" s="104">
        <f t="shared" si="66"/>
        <v>0</v>
      </c>
      <c r="BN130" s="104">
        <f t="shared" si="67"/>
        <v>0</v>
      </c>
    </row>
    <row r="131" spans="1:66" s="19" customFormat="1" ht="15" customHeight="1" x14ac:dyDescent="0.3">
      <c r="A131" s="105">
        <v>117</v>
      </c>
      <c r="B131" s="108"/>
      <c r="C131" s="85"/>
      <c r="D131" s="106"/>
      <c r="E131" s="107"/>
      <c r="F131" s="113"/>
      <c r="G131" s="114"/>
      <c r="H131" s="107"/>
      <c r="I131" s="107"/>
      <c r="J131" s="107"/>
      <c r="K131" s="107"/>
      <c r="L131" s="13"/>
      <c r="M131" s="13"/>
      <c r="N131" s="13"/>
      <c r="O131" s="13"/>
      <c r="P131" s="13"/>
      <c r="Q131" s="13"/>
      <c r="R131" s="13"/>
      <c r="S131" s="13"/>
      <c r="T131" s="13"/>
      <c r="U131" s="13"/>
      <c r="V131" s="13"/>
      <c r="W131" s="13"/>
      <c r="X131" s="13"/>
      <c r="AE131" s="103">
        <f t="shared" si="50"/>
        <v>0</v>
      </c>
      <c r="AF131" s="103">
        <f t="shared" si="36"/>
        <v>0</v>
      </c>
      <c r="AG131" s="103">
        <f t="shared" si="37"/>
        <v>0</v>
      </c>
      <c r="AH131" s="103">
        <f t="shared" si="38"/>
        <v>0</v>
      </c>
      <c r="AI131" s="103">
        <f t="shared" si="39"/>
        <v>0</v>
      </c>
      <c r="AJ131" s="103">
        <f t="shared" si="40"/>
        <v>0</v>
      </c>
      <c r="AK131" s="103">
        <f t="shared" si="41"/>
        <v>0</v>
      </c>
      <c r="AL131" s="103">
        <f t="shared" si="42"/>
        <v>0</v>
      </c>
      <c r="AM131" s="103">
        <f t="shared" si="43"/>
        <v>0</v>
      </c>
      <c r="AN131" s="103">
        <f t="shared" si="44"/>
        <v>0</v>
      </c>
      <c r="AO131" s="103">
        <f t="shared" si="45"/>
        <v>0</v>
      </c>
      <c r="AP131" s="103">
        <f t="shared" si="46"/>
        <v>0</v>
      </c>
      <c r="AQ131" s="103">
        <f t="shared" si="47"/>
        <v>0</v>
      </c>
      <c r="AR131" s="103">
        <f t="shared" si="48"/>
        <v>0</v>
      </c>
      <c r="AS131" s="103"/>
      <c r="AT131" s="103">
        <f t="shared" si="35"/>
        <v>0</v>
      </c>
      <c r="AU131" s="103">
        <f t="shared" si="49"/>
        <v>0</v>
      </c>
      <c r="AV131" s="103">
        <f t="shared" si="51"/>
        <v>0</v>
      </c>
      <c r="AW131" s="103">
        <f t="shared" si="52"/>
        <v>0</v>
      </c>
      <c r="AX131" s="103"/>
      <c r="AY131" s="104">
        <f t="shared" si="53"/>
        <v>0</v>
      </c>
      <c r="AZ131" s="104">
        <f t="shared" si="54"/>
        <v>0</v>
      </c>
      <c r="BA131" s="104">
        <f t="shared" si="55"/>
        <v>0</v>
      </c>
      <c r="BB131" s="104">
        <f t="shared" si="56"/>
        <v>0</v>
      </c>
      <c r="BC131" s="104">
        <f t="shared" si="57"/>
        <v>0</v>
      </c>
      <c r="BD131" s="104">
        <f t="shared" si="58"/>
        <v>0</v>
      </c>
      <c r="BE131" s="104">
        <f t="shared" si="59"/>
        <v>0</v>
      </c>
      <c r="BF131" s="104">
        <f t="shared" si="60"/>
        <v>0</v>
      </c>
      <c r="BG131" s="104">
        <f t="shared" si="61"/>
        <v>0</v>
      </c>
      <c r="BH131" s="104">
        <f t="shared" si="62"/>
        <v>0</v>
      </c>
      <c r="BI131" s="104">
        <f t="shared" si="63"/>
        <v>0</v>
      </c>
      <c r="BJ131" s="104">
        <f t="shared" si="64"/>
        <v>0</v>
      </c>
      <c r="BL131" s="104">
        <f t="shared" si="65"/>
        <v>0</v>
      </c>
      <c r="BM131" s="104">
        <f t="shared" si="66"/>
        <v>0</v>
      </c>
      <c r="BN131" s="104">
        <f t="shared" si="67"/>
        <v>0</v>
      </c>
    </row>
    <row r="132" spans="1:66" s="19" customFormat="1" ht="15" customHeight="1" x14ac:dyDescent="0.3">
      <c r="A132" s="105">
        <v>118</v>
      </c>
      <c r="B132" s="108"/>
      <c r="C132" s="85"/>
      <c r="D132" s="106"/>
      <c r="E132" s="107"/>
      <c r="F132" s="113"/>
      <c r="G132" s="114"/>
      <c r="H132" s="107"/>
      <c r="I132" s="107"/>
      <c r="J132" s="107"/>
      <c r="K132" s="107"/>
      <c r="L132" s="13"/>
      <c r="M132" s="13"/>
      <c r="N132" s="13"/>
      <c r="O132" s="13"/>
      <c r="P132" s="13"/>
      <c r="Q132" s="13"/>
      <c r="R132" s="13"/>
      <c r="S132" s="13"/>
      <c r="T132" s="13"/>
      <c r="U132" s="13"/>
      <c r="V132" s="13"/>
      <c r="W132" s="13"/>
      <c r="X132" s="13"/>
      <c r="AE132" s="103">
        <f t="shared" si="50"/>
        <v>0</v>
      </c>
      <c r="AF132" s="103">
        <f t="shared" si="36"/>
        <v>0</v>
      </c>
      <c r="AG132" s="103">
        <f t="shared" si="37"/>
        <v>0</v>
      </c>
      <c r="AH132" s="103">
        <f t="shared" si="38"/>
        <v>0</v>
      </c>
      <c r="AI132" s="103">
        <f t="shared" si="39"/>
        <v>0</v>
      </c>
      <c r="AJ132" s="103">
        <f t="shared" si="40"/>
        <v>0</v>
      </c>
      <c r="AK132" s="103">
        <f t="shared" si="41"/>
        <v>0</v>
      </c>
      <c r="AL132" s="103">
        <f t="shared" si="42"/>
        <v>0</v>
      </c>
      <c r="AM132" s="103">
        <f t="shared" si="43"/>
        <v>0</v>
      </c>
      <c r="AN132" s="103">
        <f t="shared" si="44"/>
        <v>0</v>
      </c>
      <c r="AO132" s="103">
        <f t="shared" si="45"/>
        <v>0</v>
      </c>
      <c r="AP132" s="103">
        <f t="shared" si="46"/>
        <v>0</v>
      </c>
      <c r="AQ132" s="103">
        <f t="shared" si="47"/>
        <v>0</v>
      </c>
      <c r="AR132" s="103">
        <f t="shared" si="48"/>
        <v>0</v>
      </c>
      <c r="AS132" s="103"/>
      <c r="AT132" s="103">
        <f t="shared" si="35"/>
        <v>0</v>
      </c>
      <c r="AU132" s="103">
        <f t="shared" si="49"/>
        <v>0</v>
      </c>
      <c r="AV132" s="103">
        <f t="shared" si="51"/>
        <v>0</v>
      </c>
      <c r="AW132" s="103">
        <f t="shared" si="52"/>
        <v>0</v>
      </c>
      <c r="AX132" s="103"/>
      <c r="AY132" s="104">
        <f t="shared" si="53"/>
        <v>0</v>
      </c>
      <c r="AZ132" s="104">
        <f t="shared" si="54"/>
        <v>0</v>
      </c>
      <c r="BA132" s="104">
        <f t="shared" si="55"/>
        <v>0</v>
      </c>
      <c r="BB132" s="104">
        <f t="shared" si="56"/>
        <v>0</v>
      </c>
      <c r="BC132" s="104">
        <f t="shared" si="57"/>
        <v>0</v>
      </c>
      <c r="BD132" s="104">
        <f t="shared" si="58"/>
        <v>0</v>
      </c>
      <c r="BE132" s="104">
        <f t="shared" si="59"/>
        <v>0</v>
      </c>
      <c r="BF132" s="104">
        <f t="shared" si="60"/>
        <v>0</v>
      </c>
      <c r="BG132" s="104">
        <f t="shared" si="61"/>
        <v>0</v>
      </c>
      <c r="BH132" s="104">
        <f t="shared" si="62"/>
        <v>0</v>
      </c>
      <c r="BI132" s="104">
        <f t="shared" si="63"/>
        <v>0</v>
      </c>
      <c r="BJ132" s="104">
        <f t="shared" si="64"/>
        <v>0</v>
      </c>
      <c r="BL132" s="104">
        <f t="shared" si="65"/>
        <v>0</v>
      </c>
      <c r="BM132" s="104">
        <f t="shared" si="66"/>
        <v>0</v>
      </c>
      <c r="BN132" s="104">
        <f t="shared" si="67"/>
        <v>0</v>
      </c>
    </row>
    <row r="133" spans="1:66" s="19" customFormat="1" ht="15" customHeight="1" x14ac:dyDescent="0.3">
      <c r="A133" s="105">
        <v>119</v>
      </c>
      <c r="B133" s="108"/>
      <c r="C133" s="85"/>
      <c r="D133" s="106"/>
      <c r="E133" s="107"/>
      <c r="F133" s="113"/>
      <c r="G133" s="114"/>
      <c r="H133" s="107"/>
      <c r="I133" s="107"/>
      <c r="J133" s="107"/>
      <c r="K133" s="107"/>
      <c r="L133" s="13"/>
      <c r="M133" s="13"/>
      <c r="N133" s="13"/>
      <c r="O133" s="13"/>
      <c r="P133" s="13"/>
      <c r="Q133" s="13"/>
      <c r="R133" s="13"/>
      <c r="S133" s="13"/>
      <c r="T133" s="13"/>
      <c r="U133" s="13"/>
      <c r="V133" s="13"/>
      <c r="W133" s="13"/>
      <c r="X133" s="13"/>
      <c r="AE133" s="103">
        <f t="shared" si="50"/>
        <v>0</v>
      </c>
      <c r="AF133" s="103">
        <f t="shared" si="36"/>
        <v>0</v>
      </c>
      <c r="AG133" s="103">
        <f t="shared" si="37"/>
        <v>0</v>
      </c>
      <c r="AH133" s="103">
        <f t="shared" si="38"/>
        <v>0</v>
      </c>
      <c r="AI133" s="103">
        <f t="shared" si="39"/>
        <v>0</v>
      </c>
      <c r="AJ133" s="103">
        <f t="shared" si="40"/>
        <v>0</v>
      </c>
      <c r="AK133" s="103">
        <f t="shared" si="41"/>
        <v>0</v>
      </c>
      <c r="AL133" s="103">
        <f t="shared" si="42"/>
        <v>0</v>
      </c>
      <c r="AM133" s="103">
        <f t="shared" si="43"/>
        <v>0</v>
      </c>
      <c r="AN133" s="103">
        <f t="shared" si="44"/>
        <v>0</v>
      </c>
      <c r="AO133" s="103">
        <f t="shared" si="45"/>
        <v>0</v>
      </c>
      <c r="AP133" s="103">
        <f t="shared" si="46"/>
        <v>0</v>
      </c>
      <c r="AQ133" s="103">
        <f t="shared" si="47"/>
        <v>0</v>
      </c>
      <c r="AR133" s="103">
        <f t="shared" si="48"/>
        <v>0</v>
      </c>
      <c r="AS133" s="103"/>
      <c r="AT133" s="103">
        <f t="shared" si="35"/>
        <v>0</v>
      </c>
      <c r="AU133" s="103">
        <f t="shared" si="49"/>
        <v>0</v>
      </c>
      <c r="AV133" s="103">
        <f t="shared" si="51"/>
        <v>0</v>
      </c>
      <c r="AW133" s="103">
        <f t="shared" si="52"/>
        <v>0</v>
      </c>
      <c r="AX133" s="103"/>
      <c r="AY133" s="104">
        <f t="shared" si="53"/>
        <v>0</v>
      </c>
      <c r="AZ133" s="104">
        <f t="shared" si="54"/>
        <v>0</v>
      </c>
      <c r="BA133" s="104">
        <f t="shared" si="55"/>
        <v>0</v>
      </c>
      <c r="BB133" s="104">
        <f t="shared" si="56"/>
        <v>0</v>
      </c>
      <c r="BC133" s="104">
        <f t="shared" si="57"/>
        <v>0</v>
      </c>
      <c r="BD133" s="104">
        <f t="shared" si="58"/>
        <v>0</v>
      </c>
      <c r="BE133" s="104">
        <f t="shared" si="59"/>
        <v>0</v>
      </c>
      <c r="BF133" s="104">
        <f t="shared" si="60"/>
        <v>0</v>
      </c>
      <c r="BG133" s="104">
        <f t="shared" si="61"/>
        <v>0</v>
      </c>
      <c r="BH133" s="104">
        <f t="shared" si="62"/>
        <v>0</v>
      </c>
      <c r="BI133" s="104">
        <f t="shared" si="63"/>
        <v>0</v>
      </c>
      <c r="BJ133" s="104">
        <f t="shared" si="64"/>
        <v>0</v>
      </c>
      <c r="BL133" s="104">
        <f t="shared" si="65"/>
        <v>0</v>
      </c>
      <c r="BM133" s="104">
        <f t="shared" si="66"/>
        <v>0</v>
      </c>
      <c r="BN133" s="104">
        <f t="shared" si="67"/>
        <v>0</v>
      </c>
    </row>
    <row r="134" spans="1:66" s="19" customFormat="1" ht="15" customHeight="1" x14ac:dyDescent="0.3">
      <c r="A134" s="105">
        <v>120</v>
      </c>
      <c r="B134" s="108"/>
      <c r="C134" s="85"/>
      <c r="D134" s="106"/>
      <c r="E134" s="107"/>
      <c r="F134" s="113"/>
      <c r="G134" s="114"/>
      <c r="H134" s="107"/>
      <c r="I134" s="107"/>
      <c r="J134" s="107"/>
      <c r="K134" s="107"/>
      <c r="L134" s="13"/>
      <c r="M134" s="13"/>
      <c r="N134" s="13"/>
      <c r="O134" s="13"/>
      <c r="P134" s="13"/>
      <c r="Q134" s="13"/>
      <c r="R134" s="13"/>
      <c r="S134" s="13"/>
      <c r="T134" s="13"/>
      <c r="U134" s="13"/>
      <c r="V134" s="13"/>
      <c r="W134" s="13"/>
      <c r="X134" s="13"/>
      <c r="AE134" s="103">
        <f t="shared" si="50"/>
        <v>0</v>
      </c>
      <c r="AF134" s="103">
        <f t="shared" si="36"/>
        <v>0</v>
      </c>
      <c r="AG134" s="103">
        <f t="shared" si="37"/>
        <v>0</v>
      </c>
      <c r="AH134" s="103">
        <f t="shared" si="38"/>
        <v>0</v>
      </c>
      <c r="AI134" s="103">
        <f t="shared" si="39"/>
        <v>0</v>
      </c>
      <c r="AJ134" s="103">
        <f t="shared" si="40"/>
        <v>0</v>
      </c>
      <c r="AK134" s="103">
        <f t="shared" si="41"/>
        <v>0</v>
      </c>
      <c r="AL134" s="103">
        <f t="shared" si="42"/>
        <v>0</v>
      </c>
      <c r="AM134" s="103">
        <f t="shared" si="43"/>
        <v>0</v>
      </c>
      <c r="AN134" s="103">
        <f t="shared" si="44"/>
        <v>0</v>
      </c>
      <c r="AO134" s="103">
        <f t="shared" si="45"/>
        <v>0</v>
      </c>
      <c r="AP134" s="103">
        <f t="shared" si="46"/>
        <v>0</v>
      </c>
      <c r="AQ134" s="103">
        <f t="shared" si="47"/>
        <v>0</v>
      </c>
      <c r="AR134" s="103">
        <f t="shared" si="48"/>
        <v>0</v>
      </c>
      <c r="AS134" s="103"/>
      <c r="AT134" s="103">
        <f t="shared" si="35"/>
        <v>0</v>
      </c>
      <c r="AU134" s="103">
        <f t="shared" si="49"/>
        <v>0</v>
      </c>
      <c r="AV134" s="103">
        <f t="shared" si="51"/>
        <v>0</v>
      </c>
      <c r="AW134" s="103">
        <f t="shared" si="52"/>
        <v>0</v>
      </c>
      <c r="AX134" s="103"/>
      <c r="AY134" s="104">
        <f t="shared" si="53"/>
        <v>0</v>
      </c>
      <c r="AZ134" s="104">
        <f t="shared" si="54"/>
        <v>0</v>
      </c>
      <c r="BA134" s="104">
        <f t="shared" si="55"/>
        <v>0</v>
      </c>
      <c r="BB134" s="104">
        <f t="shared" si="56"/>
        <v>0</v>
      </c>
      <c r="BC134" s="104">
        <f t="shared" si="57"/>
        <v>0</v>
      </c>
      <c r="BD134" s="104">
        <f t="shared" si="58"/>
        <v>0</v>
      </c>
      <c r="BE134" s="104">
        <f t="shared" si="59"/>
        <v>0</v>
      </c>
      <c r="BF134" s="104">
        <f t="shared" si="60"/>
        <v>0</v>
      </c>
      <c r="BG134" s="104">
        <f t="shared" si="61"/>
        <v>0</v>
      </c>
      <c r="BH134" s="104">
        <f t="shared" si="62"/>
        <v>0</v>
      </c>
      <c r="BI134" s="104">
        <f t="shared" si="63"/>
        <v>0</v>
      </c>
      <c r="BJ134" s="104">
        <f t="shared" si="64"/>
        <v>0</v>
      </c>
      <c r="BL134" s="104">
        <f t="shared" si="65"/>
        <v>0</v>
      </c>
      <c r="BM134" s="104">
        <f t="shared" si="66"/>
        <v>0</v>
      </c>
      <c r="BN134" s="104">
        <f t="shared" si="67"/>
        <v>0</v>
      </c>
    </row>
    <row r="135" spans="1:66" s="19" customFormat="1" ht="15" customHeight="1" x14ac:dyDescent="0.3">
      <c r="A135" s="105">
        <v>121</v>
      </c>
      <c r="B135" s="108"/>
      <c r="C135" s="85"/>
      <c r="D135" s="106"/>
      <c r="E135" s="107"/>
      <c r="F135" s="113"/>
      <c r="G135" s="114"/>
      <c r="H135" s="107"/>
      <c r="I135" s="107"/>
      <c r="J135" s="107"/>
      <c r="K135" s="107"/>
      <c r="L135" s="13"/>
      <c r="M135" s="13"/>
      <c r="N135" s="13"/>
      <c r="O135" s="13"/>
      <c r="P135" s="13"/>
      <c r="Q135" s="13"/>
      <c r="R135" s="13"/>
      <c r="S135" s="13"/>
      <c r="T135" s="13"/>
      <c r="U135" s="13"/>
      <c r="V135" s="13"/>
      <c r="W135" s="13"/>
      <c r="X135" s="13"/>
      <c r="AE135" s="103">
        <f t="shared" si="50"/>
        <v>0</v>
      </c>
      <c r="AF135" s="103">
        <f t="shared" si="36"/>
        <v>0</v>
      </c>
      <c r="AG135" s="103">
        <f t="shared" si="37"/>
        <v>0</v>
      </c>
      <c r="AH135" s="103">
        <f t="shared" si="38"/>
        <v>0</v>
      </c>
      <c r="AI135" s="103">
        <f t="shared" si="39"/>
        <v>0</v>
      </c>
      <c r="AJ135" s="103">
        <f t="shared" si="40"/>
        <v>0</v>
      </c>
      <c r="AK135" s="103">
        <f t="shared" si="41"/>
        <v>0</v>
      </c>
      <c r="AL135" s="103">
        <f t="shared" si="42"/>
        <v>0</v>
      </c>
      <c r="AM135" s="103">
        <f t="shared" si="43"/>
        <v>0</v>
      </c>
      <c r="AN135" s="103">
        <f t="shared" si="44"/>
        <v>0</v>
      </c>
      <c r="AO135" s="103">
        <f t="shared" si="45"/>
        <v>0</v>
      </c>
      <c r="AP135" s="103">
        <f t="shared" si="46"/>
        <v>0</v>
      </c>
      <c r="AQ135" s="103">
        <f t="shared" si="47"/>
        <v>0</v>
      </c>
      <c r="AR135" s="103">
        <f t="shared" si="48"/>
        <v>0</v>
      </c>
      <c r="AS135" s="103"/>
      <c r="AT135" s="103">
        <f t="shared" si="35"/>
        <v>0</v>
      </c>
      <c r="AU135" s="103">
        <f t="shared" si="49"/>
        <v>0</v>
      </c>
      <c r="AV135" s="103">
        <f t="shared" si="51"/>
        <v>0</v>
      </c>
      <c r="AW135" s="103">
        <f t="shared" si="52"/>
        <v>0</v>
      </c>
      <c r="AX135" s="103"/>
      <c r="AY135" s="104">
        <f t="shared" si="53"/>
        <v>0</v>
      </c>
      <c r="AZ135" s="104">
        <f t="shared" si="54"/>
        <v>0</v>
      </c>
      <c r="BA135" s="104">
        <f t="shared" si="55"/>
        <v>0</v>
      </c>
      <c r="BB135" s="104">
        <f t="shared" si="56"/>
        <v>0</v>
      </c>
      <c r="BC135" s="104">
        <f t="shared" si="57"/>
        <v>0</v>
      </c>
      <c r="BD135" s="104">
        <f t="shared" si="58"/>
        <v>0</v>
      </c>
      <c r="BE135" s="104">
        <f t="shared" si="59"/>
        <v>0</v>
      </c>
      <c r="BF135" s="104">
        <f t="shared" si="60"/>
        <v>0</v>
      </c>
      <c r="BG135" s="104">
        <f t="shared" si="61"/>
        <v>0</v>
      </c>
      <c r="BH135" s="104">
        <f t="shared" si="62"/>
        <v>0</v>
      </c>
      <c r="BI135" s="104">
        <f t="shared" si="63"/>
        <v>0</v>
      </c>
      <c r="BJ135" s="104">
        <f t="shared" si="64"/>
        <v>0</v>
      </c>
      <c r="BL135" s="104">
        <f t="shared" si="65"/>
        <v>0</v>
      </c>
      <c r="BM135" s="104">
        <f t="shared" si="66"/>
        <v>0</v>
      </c>
      <c r="BN135" s="104">
        <f t="shared" si="67"/>
        <v>0</v>
      </c>
    </row>
    <row r="136" spans="1:66" s="19" customFormat="1" ht="15" customHeight="1" x14ac:dyDescent="0.3">
      <c r="A136" s="105">
        <v>122</v>
      </c>
      <c r="B136" s="108"/>
      <c r="C136" s="85"/>
      <c r="D136" s="106"/>
      <c r="E136" s="107"/>
      <c r="F136" s="113"/>
      <c r="G136" s="114"/>
      <c r="H136" s="107"/>
      <c r="I136" s="107"/>
      <c r="J136" s="107"/>
      <c r="K136" s="107"/>
      <c r="L136" s="13"/>
      <c r="M136" s="13"/>
      <c r="N136" s="13"/>
      <c r="O136" s="13"/>
      <c r="P136" s="13"/>
      <c r="Q136" s="13"/>
      <c r="R136" s="13"/>
      <c r="S136" s="13"/>
      <c r="T136" s="13"/>
      <c r="U136" s="13"/>
      <c r="V136" s="13"/>
      <c r="W136" s="13"/>
      <c r="X136" s="13"/>
      <c r="AE136" s="103">
        <f t="shared" si="50"/>
        <v>0</v>
      </c>
      <c r="AF136" s="103">
        <f t="shared" si="36"/>
        <v>0</v>
      </c>
      <c r="AG136" s="103">
        <f t="shared" si="37"/>
        <v>0</v>
      </c>
      <c r="AH136" s="103">
        <f t="shared" si="38"/>
        <v>0</v>
      </c>
      <c r="AI136" s="103">
        <f t="shared" si="39"/>
        <v>0</v>
      </c>
      <c r="AJ136" s="103">
        <f t="shared" si="40"/>
        <v>0</v>
      </c>
      <c r="AK136" s="103">
        <f t="shared" si="41"/>
        <v>0</v>
      </c>
      <c r="AL136" s="103">
        <f t="shared" si="42"/>
        <v>0</v>
      </c>
      <c r="AM136" s="103">
        <f t="shared" si="43"/>
        <v>0</v>
      </c>
      <c r="AN136" s="103">
        <f t="shared" si="44"/>
        <v>0</v>
      </c>
      <c r="AO136" s="103">
        <f t="shared" si="45"/>
        <v>0</v>
      </c>
      <c r="AP136" s="103">
        <f t="shared" si="46"/>
        <v>0</v>
      </c>
      <c r="AQ136" s="103">
        <f t="shared" si="47"/>
        <v>0</v>
      </c>
      <c r="AR136" s="103">
        <f t="shared" si="48"/>
        <v>0</v>
      </c>
      <c r="AS136" s="103"/>
      <c r="AT136" s="103">
        <f t="shared" si="35"/>
        <v>0</v>
      </c>
      <c r="AU136" s="103">
        <f t="shared" si="49"/>
        <v>0</v>
      </c>
      <c r="AV136" s="103">
        <f t="shared" si="51"/>
        <v>0</v>
      </c>
      <c r="AW136" s="103">
        <f t="shared" si="52"/>
        <v>0</v>
      </c>
      <c r="AX136" s="103"/>
      <c r="AY136" s="104">
        <f t="shared" si="53"/>
        <v>0</v>
      </c>
      <c r="AZ136" s="104">
        <f t="shared" si="54"/>
        <v>0</v>
      </c>
      <c r="BA136" s="104">
        <f t="shared" si="55"/>
        <v>0</v>
      </c>
      <c r="BB136" s="104">
        <f t="shared" si="56"/>
        <v>0</v>
      </c>
      <c r="BC136" s="104">
        <f t="shared" si="57"/>
        <v>0</v>
      </c>
      <c r="BD136" s="104">
        <f t="shared" si="58"/>
        <v>0</v>
      </c>
      <c r="BE136" s="104">
        <f t="shared" si="59"/>
        <v>0</v>
      </c>
      <c r="BF136" s="104">
        <f t="shared" si="60"/>
        <v>0</v>
      </c>
      <c r="BG136" s="104">
        <f t="shared" si="61"/>
        <v>0</v>
      </c>
      <c r="BH136" s="104">
        <f t="shared" si="62"/>
        <v>0</v>
      </c>
      <c r="BI136" s="104">
        <f t="shared" si="63"/>
        <v>0</v>
      </c>
      <c r="BJ136" s="104">
        <f t="shared" si="64"/>
        <v>0</v>
      </c>
      <c r="BL136" s="104">
        <f t="shared" si="65"/>
        <v>0</v>
      </c>
      <c r="BM136" s="104">
        <f t="shared" si="66"/>
        <v>0</v>
      </c>
      <c r="BN136" s="104">
        <f t="shared" si="67"/>
        <v>0</v>
      </c>
    </row>
    <row r="137" spans="1:66" s="19" customFormat="1" ht="15" customHeight="1" x14ac:dyDescent="0.3">
      <c r="A137" s="105">
        <v>123</v>
      </c>
      <c r="B137" s="108"/>
      <c r="C137" s="85"/>
      <c r="D137" s="106"/>
      <c r="E137" s="107"/>
      <c r="F137" s="113"/>
      <c r="G137" s="114"/>
      <c r="H137" s="107"/>
      <c r="I137" s="107"/>
      <c r="J137" s="107"/>
      <c r="K137" s="107"/>
      <c r="L137" s="13"/>
      <c r="M137" s="13"/>
      <c r="N137" s="13"/>
      <c r="O137" s="13"/>
      <c r="P137" s="13"/>
      <c r="Q137" s="13"/>
      <c r="R137" s="13"/>
      <c r="S137" s="13"/>
      <c r="T137" s="13"/>
      <c r="U137" s="13"/>
      <c r="V137" s="13"/>
      <c r="W137" s="13"/>
      <c r="X137" s="13"/>
      <c r="AE137" s="103">
        <f t="shared" si="50"/>
        <v>0</v>
      </c>
      <c r="AF137" s="103">
        <f t="shared" si="36"/>
        <v>0</v>
      </c>
      <c r="AG137" s="103">
        <f t="shared" si="37"/>
        <v>0</v>
      </c>
      <c r="AH137" s="103">
        <f t="shared" si="38"/>
        <v>0</v>
      </c>
      <c r="AI137" s="103">
        <f t="shared" si="39"/>
        <v>0</v>
      </c>
      <c r="AJ137" s="103">
        <f t="shared" si="40"/>
        <v>0</v>
      </c>
      <c r="AK137" s="103">
        <f t="shared" si="41"/>
        <v>0</v>
      </c>
      <c r="AL137" s="103">
        <f t="shared" si="42"/>
        <v>0</v>
      </c>
      <c r="AM137" s="103">
        <f t="shared" si="43"/>
        <v>0</v>
      </c>
      <c r="AN137" s="103">
        <f t="shared" si="44"/>
        <v>0</v>
      </c>
      <c r="AO137" s="103">
        <f t="shared" si="45"/>
        <v>0</v>
      </c>
      <c r="AP137" s="103">
        <f t="shared" si="46"/>
        <v>0</v>
      </c>
      <c r="AQ137" s="103">
        <f t="shared" si="47"/>
        <v>0</v>
      </c>
      <c r="AR137" s="103">
        <f t="shared" si="48"/>
        <v>0</v>
      </c>
      <c r="AS137" s="103"/>
      <c r="AT137" s="103">
        <f t="shared" si="35"/>
        <v>0</v>
      </c>
      <c r="AU137" s="103">
        <f t="shared" si="49"/>
        <v>0</v>
      </c>
      <c r="AV137" s="103">
        <f t="shared" si="51"/>
        <v>0</v>
      </c>
      <c r="AW137" s="103">
        <f t="shared" si="52"/>
        <v>0</v>
      </c>
      <c r="AX137" s="103"/>
      <c r="AY137" s="104">
        <f t="shared" si="53"/>
        <v>0</v>
      </c>
      <c r="AZ137" s="104">
        <f t="shared" si="54"/>
        <v>0</v>
      </c>
      <c r="BA137" s="104">
        <f t="shared" si="55"/>
        <v>0</v>
      </c>
      <c r="BB137" s="104">
        <f t="shared" si="56"/>
        <v>0</v>
      </c>
      <c r="BC137" s="104">
        <f t="shared" si="57"/>
        <v>0</v>
      </c>
      <c r="BD137" s="104">
        <f t="shared" si="58"/>
        <v>0</v>
      </c>
      <c r="BE137" s="104">
        <f t="shared" si="59"/>
        <v>0</v>
      </c>
      <c r="BF137" s="104">
        <f t="shared" si="60"/>
        <v>0</v>
      </c>
      <c r="BG137" s="104">
        <f t="shared" si="61"/>
        <v>0</v>
      </c>
      <c r="BH137" s="104">
        <f t="shared" si="62"/>
        <v>0</v>
      </c>
      <c r="BI137" s="104">
        <f t="shared" si="63"/>
        <v>0</v>
      </c>
      <c r="BJ137" s="104">
        <f t="shared" si="64"/>
        <v>0</v>
      </c>
      <c r="BL137" s="104">
        <f t="shared" si="65"/>
        <v>0</v>
      </c>
      <c r="BM137" s="104">
        <f t="shared" si="66"/>
        <v>0</v>
      </c>
      <c r="BN137" s="104">
        <f t="shared" si="67"/>
        <v>0</v>
      </c>
    </row>
    <row r="138" spans="1:66" s="19" customFormat="1" ht="15" customHeight="1" x14ac:dyDescent="0.3">
      <c r="A138" s="105">
        <v>124</v>
      </c>
      <c r="B138" s="108"/>
      <c r="C138" s="85"/>
      <c r="D138" s="106"/>
      <c r="E138" s="107"/>
      <c r="F138" s="113"/>
      <c r="G138" s="114"/>
      <c r="H138" s="107"/>
      <c r="I138" s="107"/>
      <c r="J138" s="107"/>
      <c r="K138" s="107"/>
      <c r="L138" s="13"/>
      <c r="M138" s="13"/>
      <c r="N138" s="13"/>
      <c r="O138" s="13"/>
      <c r="P138" s="13"/>
      <c r="Q138" s="13"/>
      <c r="R138" s="13"/>
      <c r="S138" s="13"/>
      <c r="T138" s="13"/>
      <c r="U138" s="13"/>
      <c r="V138" s="13"/>
      <c r="W138" s="13"/>
      <c r="X138" s="13"/>
      <c r="AE138" s="103">
        <f t="shared" si="50"/>
        <v>0</v>
      </c>
      <c r="AF138" s="103">
        <f t="shared" si="36"/>
        <v>0</v>
      </c>
      <c r="AG138" s="103">
        <f t="shared" si="37"/>
        <v>0</v>
      </c>
      <c r="AH138" s="103">
        <f t="shared" si="38"/>
        <v>0</v>
      </c>
      <c r="AI138" s="103">
        <f t="shared" si="39"/>
        <v>0</v>
      </c>
      <c r="AJ138" s="103">
        <f t="shared" si="40"/>
        <v>0</v>
      </c>
      <c r="AK138" s="103">
        <f t="shared" si="41"/>
        <v>0</v>
      </c>
      <c r="AL138" s="103">
        <f t="shared" si="42"/>
        <v>0</v>
      </c>
      <c r="AM138" s="103">
        <f t="shared" si="43"/>
        <v>0</v>
      </c>
      <c r="AN138" s="103">
        <f t="shared" si="44"/>
        <v>0</v>
      </c>
      <c r="AO138" s="103">
        <f t="shared" si="45"/>
        <v>0</v>
      </c>
      <c r="AP138" s="103">
        <f t="shared" si="46"/>
        <v>0</v>
      </c>
      <c r="AQ138" s="103">
        <f t="shared" si="47"/>
        <v>0</v>
      </c>
      <c r="AR138" s="103">
        <f t="shared" si="48"/>
        <v>0</v>
      </c>
      <c r="AS138" s="103"/>
      <c r="AT138" s="103">
        <f t="shared" si="35"/>
        <v>0</v>
      </c>
      <c r="AU138" s="103">
        <f t="shared" si="49"/>
        <v>0</v>
      </c>
      <c r="AV138" s="103">
        <f t="shared" si="51"/>
        <v>0</v>
      </c>
      <c r="AW138" s="103">
        <f t="shared" si="52"/>
        <v>0</v>
      </c>
      <c r="AX138" s="103"/>
      <c r="AY138" s="104">
        <f t="shared" si="53"/>
        <v>0</v>
      </c>
      <c r="AZ138" s="104">
        <f t="shared" si="54"/>
        <v>0</v>
      </c>
      <c r="BA138" s="104">
        <f t="shared" si="55"/>
        <v>0</v>
      </c>
      <c r="BB138" s="104">
        <f t="shared" si="56"/>
        <v>0</v>
      </c>
      <c r="BC138" s="104">
        <f t="shared" si="57"/>
        <v>0</v>
      </c>
      <c r="BD138" s="104">
        <f t="shared" si="58"/>
        <v>0</v>
      </c>
      <c r="BE138" s="104">
        <f t="shared" si="59"/>
        <v>0</v>
      </c>
      <c r="BF138" s="104">
        <f t="shared" si="60"/>
        <v>0</v>
      </c>
      <c r="BG138" s="104">
        <f t="shared" si="61"/>
        <v>0</v>
      </c>
      <c r="BH138" s="104">
        <f t="shared" si="62"/>
        <v>0</v>
      </c>
      <c r="BI138" s="104">
        <f t="shared" si="63"/>
        <v>0</v>
      </c>
      <c r="BJ138" s="104">
        <f t="shared" si="64"/>
        <v>0</v>
      </c>
      <c r="BL138" s="104">
        <f t="shared" si="65"/>
        <v>0</v>
      </c>
      <c r="BM138" s="104">
        <f t="shared" si="66"/>
        <v>0</v>
      </c>
      <c r="BN138" s="104">
        <f t="shared" si="67"/>
        <v>0</v>
      </c>
    </row>
    <row r="139" spans="1:66" s="19" customFormat="1" ht="15" customHeight="1" x14ac:dyDescent="0.3">
      <c r="A139" s="105">
        <v>125</v>
      </c>
      <c r="B139" s="108"/>
      <c r="C139" s="85"/>
      <c r="D139" s="106"/>
      <c r="E139" s="107"/>
      <c r="F139" s="113"/>
      <c r="G139" s="114"/>
      <c r="H139" s="107"/>
      <c r="I139" s="107"/>
      <c r="J139" s="107"/>
      <c r="K139" s="107"/>
      <c r="L139" s="13"/>
      <c r="M139" s="13"/>
      <c r="N139" s="13"/>
      <c r="O139" s="13"/>
      <c r="P139" s="13"/>
      <c r="Q139" s="13"/>
      <c r="R139" s="13"/>
      <c r="S139" s="13"/>
      <c r="T139" s="13"/>
      <c r="U139" s="13"/>
      <c r="V139" s="13"/>
      <c r="W139" s="13"/>
      <c r="X139" s="13"/>
      <c r="AE139" s="103">
        <f t="shared" si="50"/>
        <v>0</v>
      </c>
      <c r="AF139" s="103">
        <f t="shared" si="36"/>
        <v>0</v>
      </c>
      <c r="AG139" s="103">
        <f t="shared" si="37"/>
        <v>0</v>
      </c>
      <c r="AH139" s="103">
        <f t="shared" si="38"/>
        <v>0</v>
      </c>
      <c r="AI139" s="103">
        <f t="shared" si="39"/>
        <v>0</v>
      </c>
      <c r="AJ139" s="103">
        <f t="shared" si="40"/>
        <v>0</v>
      </c>
      <c r="AK139" s="103">
        <f t="shared" si="41"/>
        <v>0</v>
      </c>
      <c r="AL139" s="103">
        <f t="shared" si="42"/>
        <v>0</v>
      </c>
      <c r="AM139" s="103">
        <f t="shared" si="43"/>
        <v>0</v>
      </c>
      <c r="AN139" s="103">
        <f t="shared" si="44"/>
        <v>0</v>
      </c>
      <c r="AO139" s="103">
        <f t="shared" si="45"/>
        <v>0</v>
      </c>
      <c r="AP139" s="103">
        <f t="shared" si="46"/>
        <v>0</v>
      </c>
      <c r="AQ139" s="103">
        <f t="shared" si="47"/>
        <v>0</v>
      </c>
      <c r="AR139" s="103">
        <f t="shared" si="48"/>
        <v>0</v>
      </c>
      <c r="AS139" s="103"/>
      <c r="AT139" s="103">
        <f t="shared" si="35"/>
        <v>0</v>
      </c>
      <c r="AU139" s="103">
        <f t="shared" si="49"/>
        <v>0</v>
      </c>
      <c r="AV139" s="103">
        <f t="shared" si="51"/>
        <v>0</v>
      </c>
      <c r="AW139" s="103">
        <f t="shared" si="52"/>
        <v>0</v>
      </c>
      <c r="AX139" s="103"/>
      <c r="AY139" s="104">
        <f t="shared" si="53"/>
        <v>0</v>
      </c>
      <c r="AZ139" s="104">
        <f t="shared" si="54"/>
        <v>0</v>
      </c>
      <c r="BA139" s="104">
        <f t="shared" si="55"/>
        <v>0</v>
      </c>
      <c r="BB139" s="104">
        <f t="shared" si="56"/>
        <v>0</v>
      </c>
      <c r="BC139" s="104">
        <f t="shared" si="57"/>
        <v>0</v>
      </c>
      <c r="BD139" s="104">
        <f t="shared" si="58"/>
        <v>0</v>
      </c>
      <c r="BE139" s="104">
        <f t="shared" si="59"/>
        <v>0</v>
      </c>
      <c r="BF139" s="104">
        <f t="shared" si="60"/>
        <v>0</v>
      </c>
      <c r="BG139" s="104">
        <f t="shared" si="61"/>
        <v>0</v>
      </c>
      <c r="BH139" s="104">
        <f t="shared" si="62"/>
        <v>0</v>
      </c>
      <c r="BI139" s="104">
        <f t="shared" si="63"/>
        <v>0</v>
      </c>
      <c r="BJ139" s="104">
        <f t="shared" si="64"/>
        <v>0</v>
      </c>
      <c r="BL139" s="104">
        <f t="shared" si="65"/>
        <v>0</v>
      </c>
      <c r="BM139" s="104">
        <f t="shared" si="66"/>
        <v>0</v>
      </c>
      <c r="BN139" s="104">
        <f t="shared" si="67"/>
        <v>0</v>
      </c>
    </row>
    <row r="140" spans="1:66" s="19" customFormat="1" ht="15" customHeight="1" x14ac:dyDescent="0.3">
      <c r="A140" s="105">
        <v>126</v>
      </c>
      <c r="B140" s="108"/>
      <c r="C140" s="85"/>
      <c r="D140" s="106"/>
      <c r="E140" s="107"/>
      <c r="F140" s="113"/>
      <c r="G140" s="114"/>
      <c r="H140" s="107"/>
      <c r="I140" s="107"/>
      <c r="J140" s="107"/>
      <c r="K140" s="107"/>
      <c r="L140" s="13"/>
      <c r="M140" s="13"/>
      <c r="N140" s="13"/>
      <c r="O140" s="13"/>
      <c r="P140" s="13"/>
      <c r="Q140" s="13"/>
      <c r="R140" s="13"/>
      <c r="S140" s="13"/>
      <c r="T140" s="13"/>
      <c r="U140" s="13"/>
      <c r="V140" s="13"/>
      <c r="W140" s="13"/>
      <c r="X140" s="13"/>
      <c r="AE140" s="103">
        <f t="shared" si="50"/>
        <v>0</v>
      </c>
      <c r="AF140" s="103">
        <f t="shared" si="36"/>
        <v>0</v>
      </c>
      <c r="AG140" s="103">
        <f t="shared" si="37"/>
        <v>0</v>
      </c>
      <c r="AH140" s="103">
        <f t="shared" si="38"/>
        <v>0</v>
      </c>
      <c r="AI140" s="103">
        <f t="shared" si="39"/>
        <v>0</v>
      </c>
      <c r="AJ140" s="103">
        <f t="shared" si="40"/>
        <v>0</v>
      </c>
      <c r="AK140" s="103">
        <f t="shared" si="41"/>
        <v>0</v>
      </c>
      <c r="AL140" s="103">
        <f t="shared" si="42"/>
        <v>0</v>
      </c>
      <c r="AM140" s="103">
        <f t="shared" si="43"/>
        <v>0</v>
      </c>
      <c r="AN140" s="103">
        <f t="shared" si="44"/>
        <v>0</v>
      </c>
      <c r="AO140" s="103">
        <f t="shared" si="45"/>
        <v>0</v>
      </c>
      <c r="AP140" s="103">
        <f t="shared" si="46"/>
        <v>0</v>
      </c>
      <c r="AQ140" s="103">
        <f t="shared" si="47"/>
        <v>0</v>
      </c>
      <c r="AR140" s="103">
        <f t="shared" si="48"/>
        <v>0</v>
      </c>
      <c r="AS140" s="103"/>
      <c r="AT140" s="103">
        <f>IF(OR($G140=$AA$11,$G140=$AA$13,($G140=$AA$14),$G140=$AA$15),$AE140+$AG140+$AI140+$AK140+$AQ140,0)</f>
        <v>0</v>
      </c>
      <c r="AU140" s="103">
        <f t="shared" si="49"/>
        <v>0</v>
      </c>
      <c r="AV140" s="103">
        <f t="shared" si="51"/>
        <v>0</v>
      </c>
      <c r="AW140" s="103">
        <f t="shared" si="52"/>
        <v>0</v>
      </c>
      <c r="AX140" s="103"/>
      <c r="AY140" s="104">
        <f t="shared" si="53"/>
        <v>0</v>
      </c>
      <c r="AZ140" s="104">
        <f t="shared" si="54"/>
        <v>0</v>
      </c>
      <c r="BA140" s="104">
        <f t="shared" si="55"/>
        <v>0</v>
      </c>
      <c r="BB140" s="104">
        <f t="shared" si="56"/>
        <v>0</v>
      </c>
      <c r="BC140" s="104">
        <f t="shared" si="57"/>
        <v>0</v>
      </c>
      <c r="BD140" s="104">
        <f t="shared" si="58"/>
        <v>0</v>
      </c>
      <c r="BE140" s="104">
        <f t="shared" si="59"/>
        <v>0</v>
      </c>
      <c r="BF140" s="104">
        <f t="shared" si="60"/>
        <v>0</v>
      </c>
      <c r="BG140" s="104">
        <f t="shared" si="61"/>
        <v>0</v>
      </c>
      <c r="BH140" s="104">
        <f t="shared" si="62"/>
        <v>0</v>
      </c>
      <c r="BI140" s="104">
        <f t="shared" si="63"/>
        <v>0</v>
      </c>
      <c r="BJ140" s="104">
        <f t="shared" si="64"/>
        <v>0</v>
      </c>
    </row>
    <row r="141" spans="1:66" s="19" customFormat="1" ht="15" customHeight="1" x14ac:dyDescent="0.3">
      <c r="A141" s="73"/>
      <c r="B141" s="73"/>
      <c r="C141" s="73"/>
      <c r="D141" s="13"/>
      <c r="E141" s="110"/>
      <c r="F141" s="13"/>
      <c r="G141" s="13"/>
      <c r="H141" s="13"/>
      <c r="I141" s="13"/>
      <c r="J141" s="13"/>
      <c r="K141" s="13"/>
      <c r="L141" s="13"/>
      <c r="M141" s="13"/>
      <c r="N141" s="13"/>
      <c r="O141" s="13"/>
      <c r="P141" s="13"/>
      <c r="Q141" s="13"/>
      <c r="R141" s="13"/>
      <c r="S141" s="13"/>
      <c r="T141" s="13"/>
      <c r="U141" s="13"/>
      <c r="V141" s="13"/>
      <c r="W141" s="13"/>
      <c r="X141" s="13"/>
    </row>
    <row r="142" spans="1:66" s="19" customFormat="1" ht="15" customHeight="1" x14ac:dyDescent="0.3">
      <c r="A142" s="73"/>
      <c r="B142" s="73"/>
      <c r="C142" s="73"/>
      <c r="D142" s="13"/>
      <c r="E142" s="110"/>
      <c r="F142" s="13"/>
      <c r="G142" s="13"/>
      <c r="H142" s="13"/>
      <c r="I142" s="13"/>
      <c r="J142" s="13"/>
      <c r="K142" s="13"/>
      <c r="L142" s="13"/>
      <c r="M142" s="13"/>
      <c r="N142" s="13"/>
      <c r="O142" s="13"/>
      <c r="P142" s="13"/>
      <c r="Q142" s="13"/>
      <c r="R142" s="13"/>
      <c r="S142" s="13"/>
      <c r="T142" s="13"/>
      <c r="U142" s="13"/>
      <c r="V142" s="13"/>
      <c r="W142" s="13"/>
      <c r="X142" s="13"/>
    </row>
    <row r="143" spans="1:66" s="19" customFormat="1" ht="15" customHeight="1" x14ac:dyDescent="0.3">
      <c r="A143" s="73"/>
      <c r="B143" s="73"/>
      <c r="C143" s="73"/>
      <c r="D143" s="13"/>
      <c r="E143" s="110"/>
      <c r="F143" s="13"/>
      <c r="G143" s="13"/>
      <c r="H143" s="13"/>
      <c r="I143" s="13"/>
      <c r="J143" s="13"/>
      <c r="K143" s="13"/>
      <c r="L143" s="13"/>
      <c r="M143" s="13"/>
      <c r="N143" s="13"/>
      <c r="O143" s="13"/>
      <c r="P143" s="13"/>
      <c r="Q143" s="13"/>
      <c r="R143" s="13"/>
      <c r="S143" s="13"/>
      <c r="T143" s="13"/>
      <c r="U143" s="13"/>
      <c r="V143" s="13"/>
      <c r="W143" s="13"/>
      <c r="X143" s="13"/>
    </row>
    <row r="144" spans="1:66" s="19" customFormat="1" ht="15" customHeight="1" x14ac:dyDescent="0.3">
      <c r="A144" s="73"/>
      <c r="B144" s="73"/>
      <c r="C144" s="73"/>
      <c r="D144" s="13"/>
      <c r="E144" s="110"/>
      <c r="F144" s="13"/>
      <c r="G144" s="13"/>
      <c r="H144" s="13"/>
      <c r="I144" s="13"/>
      <c r="J144" s="13"/>
      <c r="K144" s="13"/>
      <c r="L144" s="13"/>
      <c r="M144" s="13"/>
      <c r="N144" s="13"/>
      <c r="O144" s="13"/>
      <c r="P144" s="13"/>
      <c r="Q144" s="13"/>
      <c r="R144" s="13"/>
      <c r="S144" s="13"/>
      <c r="T144" s="13"/>
      <c r="U144" s="13"/>
      <c r="V144" s="13"/>
      <c r="W144" s="13"/>
      <c r="X144" s="13"/>
    </row>
    <row r="145" spans="1:24" s="19" customFormat="1" ht="15" customHeight="1" x14ac:dyDescent="0.3">
      <c r="A145" s="73"/>
      <c r="B145" s="73"/>
      <c r="C145" s="73"/>
      <c r="D145" s="13"/>
      <c r="E145" s="110"/>
      <c r="F145" s="13"/>
      <c r="G145" s="13"/>
      <c r="H145" s="13"/>
      <c r="I145" s="13"/>
      <c r="J145" s="13"/>
      <c r="K145" s="13"/>
      <c r="L145" s="13"/>
      <c r="M145" s="13"/>
      <c r="N145" s="13"/>
      <c r="O145" s="13"/>
      <c r="P145" s="13"/>
      <c r="Q145" s="13"/>
      <c r="R145" s="13"/>
      <c r="S145" s="13"/>
      <c r="T145" s="13"/>
      <c r="U145" s="13"/>
      <c r="V145" s="13"/>
      <c r="W145" s="13"/>
      <c r="X145" s="13"/>
    </row>
    <row r="146" spans="1:24" s="19" customFormat="1" ht="15" customHeight="1" x14ac:dyDescent="0.3">
      <c r="A146" s="73"/>
      <c r="B146" s="73"/>
      <c r="C146" s="73"/>
      <c r="D146" s="13"/>
      <c r="E146" s="110"/>
      <c r="F146" s="13"/>
      <c r="G146" s="13"/>
      <c r="H146" s="13"/>
      <c r="I146" s="13"/>
      <c r="J146" s="13"/>
      <c r="K146" s="13"/>
      <c r="L146" s="13"/>
      <c r="M146" s="13"/>
      <c r="N146" s="13"/>
      <c r="O146" s="13"/>
      <c r="P146" s="13"/>
      <c r="Q146" s="13"/>
      <c r="R146" s="13"/>
      <c r="S146" s="13"/>
      <c r="T146" s="13"/>
      <c r="U146" s="13"/>
      <c r="V146" s="13"/>
      <c r="W146" s="13"/>
      <c r="X146" s="13"/>
    </row>
    <row r="147" spans="1:24" s="19" customFormat="1" ht="15" customHeight="1" x14ac:dyDescent="0.3">
      <c r="A147" s="73"/>
      <c r="B147" s="73"/>
      <c r="C147" s="73"/>
      <c r="D147" s="13"/>
      <c r="E147" s="110"/>
      <c r="F147" s="13"/>
      <c r="G147" s="13"/>
      <c r="H147" s="13"/>
      <c r="I147" s="13"/>
      <c r="J147" s="13"/>
      <c r="K147" s="13"/>
      <c r="L147" s="13"/>
      <c r="M147" s="13"/>
      <c r="N147" s="13"/>
      <c r="O147" s="13"/>
      <c r="P147" s="13"/>
      <c r="Q147" s="13"/>
      <c r="R147" s="13"/>
      <c r="S147" s="13"/>
      <c r="T147" s="13"/>
      <c r="U147" s="13"/>
      <c r="V147" s="13"/>
      <c r="W147" s="13"/>
      <c r="X147" s="13"/>
    </row>
    <row r="148" spans="1:24" s="19" customFormat="1" ht="15" customHeight="1" x14ac:dyDescent="0.3">
      <c r="A148" s="73"/>
      <c r="B148" s="73"/>
      <c r="C148" s="73"/>
      <c r="D148" s="13"/>
      <c r="E148" s="110"/>
      <c r="F148" s="13"/>
      <c r="G148" s="13"/>
      <c r="H148" s="13"/>
      <c r="I148" s="13"/>
      <c r="J148" s="13"/>
      <c r="K148" s="13"/>
      <c r="L148" s="13"/>
      <c r="M148" s="13"/>
      <c r="N148" s="13"/>
      <c r="O148" s="13"/>
      <c r="P148" s="13"/>
      <c r="Q148" s="13"/>
      <c r="R148" s="13"/>
      <c r="S148" s="13"/>
      <c r="T148" s="13"/>
      <c r="U148" s="13"/>
      <c r="V148" s="13"/>
      <c r="W148" s="13"/>
      <c r="X148" s="13"/>
    </row>
    <row r="149" spans="1:24" s="19" customFormat="1" ht="15" customHeight="1" x14ac:dyDescent="0.3">
      <c r="A149" s="73"/>
      <c r="B149" s="73"/>
      <c r="C149" s="73"/>
      <c r="D149" s="13"/>
      <c r="E149" s="110"/>
      <c r="F149" s="13"/>
      <c r="G149" s="13"/>
      <c r="H149" s="13"/>
      <c r="I149" s="13"/>
      <c r="J149" s="13"/>
      <c r="K149" s="13"/>
      <c r="L149" s="13"/>
      <c r="M149" s="13"/>
      <c r="N149" s="13"/>
      <c r="O149" s="13"/>
      <c r="P149" s="13"/>
      <c r="Q149" s="13"/>
      <c r="R149" s="13"/>
      <c r="S149" s="13"/>
      <c r="T149" s="13"/>
      <c r="U149" s="13"/>
      <c r="V149" s="13"/>
      <c r="W149" s="13"/>
      <c r="X149" s="13"/>
    </row>
    <row r="150" spans="1:24" s="19" customFormat="1" ht="15" customHeight="1" x14ac:dyDescent="0.3">
      <c r="A150" s="73"/>
      <c r="B150" s="73"/>
      <c r="C150" s="73"/>
      <c r="D150" s="13"/>
      <c r="E150" s="110"/>
      <c r="F150" s="13"/>
      <c r="G150" s="13"/>
      <c r="H150" s="13"/>
      <c r="I150" s="13"/>
      <c r="J150" s="13"/>
      <c r="K150" s="13"/>
      <c r="L150" s="13"/>
      <c r="M150" s="13"/>
      <c r="N150" s="13"/>
      <c r="O150" s="13"/>
      <c r="P150" s="13"/>
      <c r="Q150" s="13"/>
      <c r="R150" s="13"/>
      <c r="S150" s="13"/>
      <c r="T150" s="13"/>
      <c r="U150" s="13"/>
      <c r="V150" s="13"/>
      <c r="W150" s="13"/>
      <c r="X150" s="13"/>
    </row>
    <row r="151" spans="1:24" s="19" customFormat="1" ht="15" customHeight="1" x14ac:dyDescent="0.3">
      <c r="A151" s="73"/>
      <c r="B151" s="73"/>
      <c r="C151" s="73"/>
      <c r="D151" s="13"/>
      <c r="E151" s="110"/>
      <c r="F151" s="13"/>
      <c r="G151" s="13"/>
      <c r="H151" s="13"/>
      <c r="I151" s="13"/>
      <c r="J151" s="13"/>
      <c r="K151" s="13"/>
      <c r="L151" s="13"/>
      <c r="M151" s="13"/>
      <c r="N151" s="13"/>
      <c r="O151" s="13"/>
      <c r="P151" s="13"/>
      <c r="Q151" s="13"/>
      <c r="R151" s="13"/>
      <c r="S151" s="13"/>
      <c r="T151" s="13"/>
      <c r="U151" s="13"/>
      <c r="V151" s="13"/>
      <c r="W151" s="13"/>
      <c r="X151" s="13"/>
    </row>
    <row r="152" spans="1:24" s="19" customFormat="1" ht="15" customHeight="1" x14ac:dyDescent="0.3">
      <c r="A152" s="73"/>
      <c r="B152" s="73"/>
      <c r="C152" s="73"/>
      <c r="D152" s="13"/>
      <c r="E152" s="110"/>
      <c r="F152" s="13"/>
      <c r="G152" s="13"/>
      <c r="H152" s="13"/>
      <c r="I152" s="13"/>
      <c r="J152" s="13"/>
      <c r="K152" s="13"/>
      <c r="L152" s="13"/>
      <c r="M152" s="13"/>
      <c r="N152" s="13"/>
      <c r="O152" s="13"/>
      <c r="P152" s="13"/>
      <c r="Q152" s="13"/>
      <c r="R152" s="13"/>
      <c r="S152" s="13"/>
      <c r="T152" s="13"/>
      <c r="U152" s="13"/>
      <c r="V152" s="13"/>
      <c r="W152" s="13"/>
      <c r="X152" s="13"/>
    </row>
    <row r="153" spans="1:24" s="19" customFormat="1" ht="15" customHeight="1" x14ac:dyDescent="0.3">
      <c r="A153" s="73"/>
      <c r="B153" s="73"/>
      <c r="C153" s="73"/>
      <c r="D153" s="13"/>
      <c r="E153" s="110"/>
      <c r="F153" s="13"/>
      <c r="G153" s="13"/>
      <c r="H153" s="13"/>
      <c r="I153" s="13"/>
      <c r="J153" s="13"/>
      <c r="K153" s="13"/>
      <c r="L153" s="13"/>
      <c r="M153" s="13"/>
      <c r="N153" s="13"/>
      <c r="O153" s="13"/>
      <c r="P153" s="13"/>
      <c r="Q153" s="13"/>
      <c r="R153" s="13"/>
      <c r="S153" s="13"/>
      <c r="T153" s="13"/>
      <c r="U153" s="13"/>
      <c r="V153" s="13"/>
      <c r="W153" s="13"/>
      <c r="X153" s="13"/>
    </row>
    <row r="154" spans="1:24" s="19" customFormat="1" ht="15" customHeight="1" x14ac:dyDescent="0.3">
      <c r="A154" s="73"/>
      <c r="B154" s="73"/>
      <c r="C154" s="73"/>
      <c r="D154" s="13"/>
      <c r="E154" s="110"/>
      <c r="F154" s="13"/>
      <c r="G154" s="13"/>
      <c r="H154" s="13"/>
      <c r="I154" s="13"/>
      <c r="J154" s="13"/>
      <c r="K154" s="13"/>
      <c r="L154" s="13"/>
      <c r="M154" s="13"/>
      <c r="N154" s="13"/>
      <c r="O154" s="13"/>
      <c r="P154" s="13"/>
      <c r="Q154" s="13"/>
      <c r="R154" s="13"/>
      <c r="S154" s="13"/>
      <c r="T154" s="13"/>
      <c r="U154" s="13"/>
      <c r="V154" s="13"/>
      <c r="W154" s="13"/>
      <c r="X154" s="13"/>
    </row>
    <row r="155" spans="1:24" s="19" customFormat="1" ht="15" customHeight="1" x14ac:dyDescent="0.3">
      <c r="A155" s="73"/>
      <c r="B155" s="73"/>
      <c r="C155" s="73"/>
      <c r="D155" s="13"/>
      <c r="E155" s="110"/>
      <c r="F155" s="13"/>
      <c r="G155" s="13"/>
      <c r="H155" s="13"/>
      <c r="I155" s="13"/>
      <c r="J155" s="13"/>
      <c r="K155" s="13"/>
      <c r="L155" s="13"/>
      <c r="M155" s="13"/>
      <c r="N155" s="13"/>
      <c r="O155" s="13"/>
      <c r="P155" s="13"/>
      <c r="Q155" s="13"/>
      <c r="R155" s="13"/>
      <c r="S155" s="13"/>
      <c r="T155" s="13"/>
      <c r="U155" s="13"/>
      <c r="V155" s="13"/>
      <c r="W155" s="13"/>
      <c r="X155" s="13"/>
    </row>
    <row r="156" spans="1:24" s="19" customFormat="1" ht="15" customHeight="1" x14ac:dyDescent="0.3">
      <c r="A156" s="73"/>
      <c r="B156" s="73"/>
      <c r="C156" s="73"/>
      <c r="D156" s="13"/>
      <c r="E156" s="110"/>
      <c r="F156" s="13"/>
      <c r="G156" s="13"/>
      <c r="H156" s="13"/>
      <c r="I156" s="13"/>
      <c r="J156" s="13"/>
      <c r="K156" s="13"/>
      <c r="L156" s="13"/>
      <c r="M156" s="13"/>
      <c r="N156" s="13"/>
      <c r="O156" s="13"/>
      <c r="P156" s="13"/>
      <c r="Q156" s="13"/>
      <c r="R156" s="13"/>
      <c r="S156" s="13"/>
      <c r="T156" s="13"/>
      <c r="U156" s="13"/>
      <c r="V156" s="13"/>
      <c r="W156" s="13"/>
      <c r="X156" s="13"/>
    </row>
    <row r="157" spans="1:24" s="19" customFormat="1" ht="15" customHeight="1" x14ac:dyDescent="0.3">
      <c r="A157" s="73"/>
      <c r="B157" s="73"/>
      <c r="C157" s="73"/>
      <c r="D157" s="13"/>
      <c r="E157" s="110"/>
      <c r="F157" s="13"/>
      <c r="G157" s="13"/>
      <c r="H157" s="13"/>
      <c r="I157" s="13"/>
      <c r="J157" s="13"/>
      <c r="K157" s="13"/>
      <c r="L157" s="13"/>
      <c r="M157" s="13"/>
      <c r="N157" s="13"/>
      <c r="O157" s="13"/>
      <c r="P157" s="13"/>
      <c r="Q157" s="13"/>
      <c r="R157" s="13"/>
      <c r="S157" s="13"/>
      <c r="T157" s="13"/>
      <c r="U157" s="13"/>
      <c r="V157" s="13"/>
      <c r="W157" s="13"/>
      <c r="X157" s="13"/>
    </row>
    <row r="158" spans="1:24" s="19" customFormat="1" ht="15" customHeight="1" x14ac:dyDescent="0.3">
      <c r="A158" s="73"/>
      <c r="B158" s="73"/>
      <c r="C158" s="73"/>
      <c r="D158" s="13"/>
      <c r="E158" s="110"/>
      <c r="F158" s="13"/>
      <c r="G158" s="13"/>
      <c r="H158" s="13"/>
      <c r="I158" s="13"/>
      <c r="J158" s="13"/>
      <c r="K158" s="13"/>
      <c r="L158" s="13"/>
      <c r="M158" s="13"/>
      <c r="N158" s="13"/>
      <c r="O158" s="13"/>
      <c r="P158" s="13"/>
      <c r="Q158" s="13"/>
      <c r="R158" s="13"/>
      <c r="S158" s="13"/>
      <c r="T158" s="13"/>
      <c r="U158" s="13"/>
      <c r="V158" s="13"/>
      <c r="W158" s="13"/>
      <c r="X158" s="13"/>
    </row>
    <row r="159" spans="1:24" s="19" customFormat="1" ht="15" customHeight="1" x14ac:dyDescent="0.3">
      <c r="A159" s="73"/>
      <c r="B159" s="73"/>
      <c r="C159" s="73"/>
      <c r="D159" s="13"/>
      <c r="E159" s="110"/>
      <c r="F159" s="13"/>
      <c r="G159" s="13"/>
      <c r="H159" s="13"/>
      <c r="I159" s="13"/>
      <c r="J159" s="13"/>
      <c r="K159" s="13"/>
      <c r="L159" s="13"/>
      <c r="M159" s="13"/>
      <c r="N159" s="13"/>
      <c r="O159" s="13"/>
      <c r="P159" s="13"/>
      <c r="Q159" s="13"/>
      <c r="R159" s="13"/>
      <c r="S159" s="13"/>
      <c r="T159" s="13"/>
      <c r="U159" s="13"/>
      <c r="V159" s="13"/>
      <c r="W159" s="13"/>
      <c r="X159" s="13"/>
    </row>
    <row r="160" spans="1:24" s="19" customFormat="1" ht="15" customHeight="1" x14ac:dyDescent="0.3">
      <c r="A160" s="73"/>
      <c r="B160" s="73"/>
      <c r="C160" s="73"/>
      <c r="D160" s="13"/>
      <c r="E160" s="110"/>
      <c r="F160" s="13"/>
      <c r="G160" s="13"/>
      <c r="H160" s="13"/>
      <c r="I160" s="13"/>
      <c r="J160" s="13"/>
      <c r="K160" s="13"/>
      <c r="L160" s="13"/>
      <c r="M160" s="13"/>
      <c r="N160" s="13"/>
      <c r="O160" s="13"/>
      <c r="P160" s="13"/>
      <c r="Q160" s="13"/>
      <c r="R160" s="13"/>
      <c r="S160" s="13"/>
      <c r="T160" s="13"/>
      <c r="U160" s="13"/>
      <c r="V160" s="13"/>
      <c r="W160" s="13"/>
      <c r="X160" s="13"/>
    </row>
    <row r="161" spans="1:24" s="19" customFormat="1" ht="15" customHeight="1" x14ac:dyDescent="0.3">
      <c r="A161" s="73"/>
      <c r="B161" s="73"/>
      <c r="C161" s="73"/>
      <c r="D161" s="13"/>
      <c r="E161" s="110"/>
      <c r="F161" s="13"/>
      <c r="G161" s="13"/>
      <c r="H161" s="13"/>
      <c r="I161" s="13"/>
      <c r="J161" s="13"/>
      <c r="K161" s="13"/>
      <c r="L161" s="13"/>
      <c r="M161" s="13"/>
      <c r="N161" s="13"/>
      <c r="O161" s="13"/>
      <c r="P161" s="13"/>
      <c r="Q161" s="13"/>
      <c r="R161" s="13"/>
      <c r="S161" s="13"/>
      <c r="T161" s="13"/>
      <c r="U161" s="13"/>
      <c r="V161" s="13"/>
      <c r="W161" s="13"/>
      <c r="X161" s="13"/>
    </row>
    <row r="162" spans="1:24" s="19" customFormat="1" ht="15" customHeight="1" x14ac:dyDescent="0.3">
      <c r="A162" s="73"/>
      <c r="B162" s="73"/>
      <c r="C162" s="73"/>
      <c r="D162" s="13"/>
      <c r="E162" s="110"/>
      <c r="F162" s="13"/>
      <c r="G162" s="13"/>
      <c r="H162" s="13"/>
      <c r="I162" s="13"/>
      <c r="J162" s="13"/>
      <c r="K162" s="13"/>
      <c r="L162" s="13"/>
      <c r="M162" s="13"/>
      <c r="N162" s="13"/>
      <c r="O162" s="13"/>
      <c r="P162" s="13"/>
      <c r="Q162" s="13"/>
      <c r="R162" s="13"/>
      <c r="S162" s="13"/>
      <c r="T162" s="13"/>
      <c r="U162" s="13"/>
      <c r="V162" s="13"/>
      <c r="W162" s="13"/>
      <c r="X162" s="13"/>
    </row>
    <row r="163" spans="1:24" s="19" customFormat="1" ht="15" customHeight="1" x14ac:dyDescent="0.3">
      <c r="A163" s="73"/>
      <c r="B163" s="73"/>
      <c r="C163" s="73"/>
      <c r="D163" s="13"/>
      <c r="E163" s="110"/>
      <c r="F163" s="13"/>
      <c r="G163" s="13"/>
      <c r="H163" s="13"/>
      <c r="I163" s="13"/>
      <c r="J163" s="13"/>
      <c r="K163" s="13"/>
      <c r="L163" s="13"/>
      <c r="M163" s="13"/>
      <c r="N163" s="13"/>
      <c r="O163" s="13"/>
      <c r="P163" s="13"/>
      <c r="Q163" s="13"/>
      <c r="R163" s="13"/>
      <c r="S163" s="13"/>
      <c r="T163" s="13"/>
      <c r="U163" s="13"/>
      <c r="V163" s="13"/>
      <c r="W163" s="13"/>
      <c r="X163" s="13"/>
    </row>
    <row r="164" spans="1:24" s="19" customFormat="1" ht="15" customHeight="1" x14ac:dyDescent="0.3">
      <c r="A164" s="73"/>
      <c r="B164" s="73"/>
      <c r="C164" s="73"/>
      <c r="D164" s="13"/>
      <c r="E164" s="110"/>
      <c r="F164" s="13"/>
      <c r="G164" s="13"/>
      <c r="H164" s="13"/>
      <c r="I164" s="13"/>
      <c r="J164" s="13"/>
      <c r="K164" s="13"/>
      <c r="L164" s="13"/>
      <c r="M164" s="13"/>
      <c r="N164" s="13"/>
      <c r="O164" s="13"/>
      <c r="P164" s="13"/>
      <c r="Q164" s="13"/>
      <c r="R164" s="13"/>
      <c r="S164" s="13"/>
      <c r="T164" s="13"/>
      <c r="U164" s="13"/>
      <c r="V164" s="13"/>
      <c r="W164" s="13"/>
      <c r="X164" s="13"/>
    </row>
    <row r="165" spans="1:24" ht="15" customHeight="1" x14ac:dyDescent="0.25">
      <c r="A165" s="9"/>
      <c r="B165" s="9"/>
      <c r="C165" s="9"/>
      <c r="D165" s="1"/>
      <c r="E165" s="10"/>
      <c r="F165" s="1"/>
      <c r="G165" s="1"/>
      <c r="H165" s="1"/>
      <c r="I165" s="1"/>
      <c r="J165" s="1"/>
      <c r="K165" s="1"/>
      <c r="L165" s="1"/>
      <c r="M165" s="1"/>
      <c r="N165" s="1"/>
      <c r="O165" s="1"/>
      <c r="P165" s="1"/>
      <c r="Q165" s="1"/>
      <c r="R165" s="1"/>
      <c r="S165" s="1"/>
      <c r="T165" s="1"/>
      <c r="U165" s="1"/>
      <c r="V165" s="1"/>
      <c r="W165" s="1"/>
      <c r="X165" s="1"/>
    </row>
    <row r="166" spans="1:24" ht="15" customHeight="1" x14ac:dyDescent="0.25">
      <c r="A166" s="9"/>
      <c r="B166" s="9"/>
      <c r="C166" s="9"/>
      <c r="D166" s="1"/>
      <c r="E166" s="10"/>
      <c r="F166" s="1"/>
      <c r="G166" s="1"/>
      <c r="H166" s="1"/>
      <c r="I166" s="1"/>
      <c r="J166" s="1"/>
      <c r="K166" s="1"/>
      <c r="L166" s="1"/>
      <c r="M166" s="1"/>
      <c r="N166" s="1"/>
      <c r="O166" s="1"/>
      <c r="P166" s="1"/>
      <c r="Q166" s="1"/>
      <c r="R166" s="1"/>
      <c r="S166" s="1"/>
      <c r="T166" s="1"/>
      <c r="U166" s="1"/>
      <c r="V166" s="1"/>
      <c r="W166" s="1"/>
      <c r="X166" s="1"/>
    </row>
    <row r="167" spans="1:24" ht="15" customHeight="1" x14ac:dyDescent="0.25">
      <c r="A167" s="9"/>
      <c r="B167" s="9"/>
      <c r="C167" s="9"/>
      <c r="D167" s="1"/>
      <c r="E167" s="10"/>
      <c r="F167" s="1"/>
      <c r="G167" s="1"/>
      <c r="H167" s="1"/>
      <c r="I167" s="1"/>
      <c r="J167" s="1"/>
      <c r="K167" s="1"/>
      <c r="L167" s="1"/>
      <c r="M167" s="1"/>
      <c r="N167" s="1"/>
      <c r="O167" s="1"/>
      <c r="P167" s="1"/>
      <c r="Q167" s="1"/>
      <c r="R167" s="1"/>
      <c r="S167" s="1"/>
      <c r="T167" s="1"/>
      <c r="U167" s="1"/>
      <c r="V167" s="1"/>
      <c r="W167" s="1"/>
      <c r="X167" s="1"/>
    </row>
    <row r="168" spans="1:24" ht="15" customHeight="1" x14ac:dyDescent="0.25">
      <c r="A168" s="9"/>
      <c r="B168" s="9"/>
      <c r="C168" s="9"/>
      <c r="D168" s="1"/>
      <c r="E168" s="10"/>
      <c r="F168" s="1"/>
      <c r="G168" s="1"/>
      <c r="H168" s="1"/>
      <c r="I168" s="1"/>
      <c r="J168" s="1"/>
      <c r="K168" s="1"/>
      <c r="L168" s="1"/>
      <c r="M168" s="1"/>
      <c r="N168" s="1"/>
      <c r="O168" s="1"/>
      <c r="P168" s="1"/>
      <c r="Q168" s="1"/>
      <c r="R168" s="1"/>
      <c r="S168" s="1"/>
      <c r="T168" s="1"/>
      <c r="U168" s="1"/>
      <c r="V168" s="1"/>
      <c r="W168" s="1"/>
      <c r="X168" s="1"/>
    </row>
    <row r="169" spans="1:24" ht="15" customHeight="1" x14ac:dyDescent="0.25">
      <c r="A169" s="9"/>
      <c r="B169" s="9"/>
      <c r="C169" s="9"/>
      <c r="D169" s="1"/>
      <c r="E169" s="10"/>
      <c r="F169" s="1"/>
      <c r="G169" s="1"/>
      <c r="H169" s="1"/>
      <c r="I169" s="1"/>
      <c r="J169" s="1"/>
      <c r="K169" s="1"/>
      <c r="L169" s="1"/>
      <c r="M169" s="1"/>
      <c r="N169" s="1"/>
      <c r="O169" s="1"/>
      <c r="P169" s="1"/>
      <c r="Q169" s="1"/>
      <c r="R169" s="1"/>
      <c r="S169" s="1"/>
      <c r="T169" s="1"/>
      <c r="U169" s="1"/>
      <c r="V169" s="1"/>
      <c r="W169" s="1"/>
      <c r="X169" s="1"/>
    </row>
    <row r="170" spans="1:24" ht="15" customHeight="1" x14ac:dyDescent="0.25">
      <c r="A170" s="9"/>
      <c r="B170" s="9"/>
      <c r="C170" s="9"/>
      <c r="D170" s="1"/>
      <c r="E170" s="10"/>
      <c r="F170" s="1"/>
      <c r="G170" s="1"/>
      <c r="H170" s="1"/>
      <c r="I170" s="1"/>
      <c r="J170" s="1"/>
      <c r="K170" s="1"/>
      <c r="L170" s="1"/>
      <c r="M170" s="1"/>
      <c r="N170" s="1"/>
      <c r="O170" s="1"/>
      <c r="P170" s="1"/>
      <c r="Q170" s="1"/>
      <c r="R170" s="1"/>
      <c r="S170" s="1"/>
      <c r="T170" s="1"/>
      <c r="U170" s="1"/>
      <c r="V170" s="1"/>
      <c r="W170" s="1"/>
      <c r="X170" s="1"/>
    </row>
    <row r="171" spans="1:24" ht="15" customHeight="1" x14ac:dyDescent="0.25">
      <c r="A171" s="9"/>
      <c r="B171" s="9"/>
      <c r="C171" s="9"/>
      <c r="D171" s="1"/>
      <c r="E171" s="10"/>
      <c r="F171" s="1"/>
      <c r="G171" s="1"/>
      <c r="H171" s="1"/>
      <c r="I171" s="1"/>
      <c r="J171" s="1"/>
      <c r="K171" s="1"/>
      <c r="L171" s="1"/>
      <c r="M171" s="1"/>
      <c r="N171" s="1"/>
      <c r="O171" s="1"/>
      <c r="P171" s="1"/>
      <c r="Q171" s="1"/>
      <c r="R171" s="1"/>
      <c r="S171" s="1"/>
      <c r="T171" s="1"/>
      <c r="U171" s="1"/>
      <c r="V171" s="1"/>
      <c r="W171" s="1"/>
      <c r="X171" s="1"/>
    </row>
    <row r="172" spans="1:24" ht="15" customHeight="1" x14ac:dyDescent="0.25">
      <c r="A172" s="9"/>
      <c r="B172" s="9"/>
      <c r="C172" s="9"/>
      <c r="D172" s="1"/>
      <c r="E172" s="10"/>
      <c r="F172" s="1"/>
      <c r="G172" s="1"/>
      <c r="H172" s="1"/>
      <c r="I172" s="1"/>
      <c r="J172" s="1"/>
      <c r="K172" s="1"/>
      <c r="L172" s="1"/>
      <c r="M172" s="1"/>
      <c r="N172" s="1"/>
      <c r="O172" s="1"/>
      <c r="P172" s="1"/>
      <c r="Q172" s="1"/>
      <c r="R172" s="1"/>
      <c r="S172" s="1"/>
      <c r="T172" s="1"/>
      <c r="U172" s="1"/>
      <c r="V172" s="1"/>
      <c r="W172" s="1"/>
      <c r="X172" s="1"/>
    </row>
  </sheetData>
  <protectedRanges>
    <protectedRange sqref="F5:K5 J11:K11 B32:K140 H17:K31 I12:K16 F17:F19 E11:E19 D12:D16 C11:C16 C17:D19 B25:F31 C20:F24" name="Range1_1"/>
    <protectedRange sqref="G6:G7 I1:I2 G1:G4" name="Range1_1_1"/>
    <protectedRange sqref="D11 H11:I11 H12:H16 F11:F16 G11:G31 B11:B24" name="Range1_1_2"/>
  </protectedRanges>
  <dataConsolidate/>
  <mergeCells count="16">
    <mergeCell ref="A10:C10"/>
    <mergeCell ref="G10:K10"/>
    <mergeCell ref="B8:B9"/>
    <mergeCell ref="A8:A9"/>
    <mergeCell ref="H8:H9"/>
    <mergeCell ref="C8:C9"/>
    <mergeCell ref="D8:D9"/>
    <mergeCell ref="E8:F8"/>
    <mergeCell ref="A4:K4"/>
    <mergeCell ref="I8:I9"/>
    <mergeCell ref="K8:K9"/>
    <mergeCell ref="F5:K5"/>
    <mergeCell ref="F6:K6"/>
    <mergeCell ref="F7:K7"/>
    <mergeCell ref="G8:G9"/>
    <mergeCell ref="J8:J9"/>
  </mergeCells>
  <phoneticPr fontId="2" type="noConversion"/>
  <conditionalFormatting sqref="C11:C140 G11:G140">
    <cfRule type="cellIs" priority="3" stopIfTrue="1" operator="notEqual">
      <formula>$AA$16</formula>
    </cfRule>
    <cfRule type="expression" dxfId="3" priority="4" stopIfTrue="1">
      <formula>$E11+$F11&gt;0</formula>
    </cfRule>
  </conditionalFormatting>
  <conditionalFormatting sqref="E11:E19 F17:F19 E20:F140">
    <cfRule type="expression" priority="1" stopIfTrue="1">
      <formula>$E11+$F11&gt;0</formula>
    </cfRule>
  </conditionalFormatting>
  <conditionalFormatting sqref="E11:E140">
    <cfRule type="expression" dxfId="2" priority="2" stopIfTrue="1">
      <formula>$G11 &lt;&gt;$AA$16</formula>
    </cfRule>
  </conditionalFormatting>
  <conditionalFormatting sqref="F17:F140">
    <cfRule type="expression" dxfId="1" priority="5" stopIfTrue="1">
      <formula>$G17&lt;&gt;$AA$16</formula>
    </cfRule>
  </conditionalFormatting>
  <conditionalFormatting sqref="G10:K10">
    <cfRule type="expression" dxfId="0" priority="14" stopIfTrue="1">
      <formula>$BL$9+$BM$9 +$BN$9&gt;0</formula>
    </cfRule>
  </conditionalFormatting>
  <dataValidations count="5">
    <dataValidation type="list" allowBlank="1" showInputMessage="1" showErrorMessage="1" sqref="K35:K140 I11:J140 H17:H140" xr:uid="{00000000-0002-0000-0100-000000000000}">
      <formula1>$AB$11:$AB$12</formula1>
    </dataValidation>
    <dataValidation type="list" allowBlank="1" showInputMessage="1" showErrorMessage="1" sqref="C11:C140" xr:uid="{00000000-0002-0000-0100-000001000000}">
      <formula1>$Z$11:$Z$17</formula1>
    </dataValidation>
    <dataValidation type="list" allowBlank="1" showInputMessage="1" showErrorMessage="1" sqref="G11:G140" xr:uid="{00000000-0002-0000-0100-000002000000}">
      <formula1>$AA$11:$AA$15</formula1>
    </dataValidation>
    <dataValidation type="decimal" operator="greaterThan" allowBlank="1" showInputMessage="1" showErrorMessage="1" sqref="F17:F140 E11:E140" xr:uid="{00000000-0002-0000-0100-000003000000}">
      <formula1>0</formula1>
    </dataValidation>
    <dataValidation type="list" allowBlank="1" showInputMessage="1" showErrorMessage="1" sqref="K11:K34" xr:uid="{00000000-0002-0000-0100-000004000000}">
      <formula1>"X"</formula1>
    </dataValidation>
  </dataValidations>
  <pageMargins left="0.31496062992125984" right="0.27559055118110237" top="0.18" bottom="0.27" header="0.15748031496062992" footer="0.43"/>
  <pageSetup paperSize="9" scale="89" fitToHeight="0" orientation="landscape" r:id="rId1"/>
  <headerFooter alignWithMargins="0"/>
  <rowBreaks count="4" manualBreakCount="4">
    <brk id="35" max="10" man="1"/>
    <brk id="62" max="10" man="1"/>
    <brk id="88" max="10" man="1"/>
    <brk id="114"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4"/>
  </sheetPr>
  <dimension ref="A1:R59"/>
  <sheetViews>
    <sheetView zoomScaleNormal="100" workbookViewId="0">
      <selection activeCell="L21" sqref="L21"/>
    </sheetView>
  </sheetViews>
  <sheetFormatPr defaultRowHeight="15" customHeight="1" x14ac:dyDescent="0.25"/>
  <cols>
    <col min="1" max="1" width="8.81640625" style="2" customWidth="1"/>
    <col min="2" max="2" width="12.54296875" style="2" customWidth="1"/>
    <col min="3" max="3" width="11.453125" style="2" customWidth="1"/>
    <col min="4" max="4" width="17.453125" style="2" customWidth="1"/>
    <col min="5" max="5" width="11.1796875" style="2" customWidth="1"/>
    <col min="6" max="6" width="19.81640625" customWidth="1"/>
    <col min="7" max="7" width="20.1796875" style="4" customWidth="1"/>
  </cols>
  <sheetData>
    <row r="1" spans="1:18" ht="24.75" customHeight="1" x14ac:dyDescent="0.35">
      <c r="A1" s="1"/>
      <c r="B1" s="77"/>
      <c r="C1" s="77"/>
      <c r="D1" s="77"/>
      <c r="E1"/>
      <c r="F1" s="14"/>
      <c r="G1" s="15" t="s">
        <v>117</v>
      </c>
      <c r="H1" s="1"/>
      <c r="I1" s="1"/>
      <c r="J1" s="1"/>
      <c r="K1" s="1"/>
      <c r="L1" s="1"/>
      <c r="M1" s="1"/>
      <c r="N1" s="1"/>
      <c r="O1" s="1"/>
      <c r="P1" s="1"/>
      <c r="Q1" s="1"/>
      <c r="R1" s="1"/>
    </row>
    <row r="2" spans="1:18" ht="24.75" customHeight="1" x14ac:dyDescent="0.35">
      <c r="A2" s="1"/>
      <c r="B2" s="77"/>
      <c r="C2" s="77"/>
      <c r="D2" s="77"/>
      <c r="E2" s="14"/>
      <c r="F2" s="14" t="s">
        <v>116</v>
      </c>
      <c r="G2" s="17" t="s">
        <v>115</v>
      </c>
      <c r="H2" s="1"/>
      <c r="I2" s="1"/>
      <c r="J2" s="1"/>
      <c r="K2" s="1"/>
      <c r="L2" s="1"/>
      <c r="M2" s="1"/>
      <c r="N2" s="1"/>
      <c r="O2" s="1"/>
      <c r="P2" s="1"/>
      <c r="Q2" s="1"/>
      <c r="R2" s="1"/>
    </row>
    <row r="3" spans="1:18" ht="19.5" customHeight="1" x14ac:dyDescent="0.25">
      <c r="A3" s="127"/>
      <c r="B3" s="128"/>
      <c r="C3" s="128"/>
      <c r="D3" s="128"/>
      <c r="E3" s="128"/>
      <c r="F3" s="129"/>
      <c r="G3" s="129"/>
      <c r="H3" s="1"/>
      <c r="I3" s="1"/>
      <c r="J3" s="1"/>
      <c r="K3" s="1"/>
      <c r="L3" s="1"/>
      <c r="M3" s="1"/>
      <c r="N3" s="1"/>
      <c r="O3" s="1"/>
      <c r="P3" s="1"/>
      <c r="Q3" s="1"/>
      <c r="R3" s="1"/>
    </row>
    <row r="4" spans="1:18" ht="19.5" customHeight="1" x14ac:dyDescent="0.45">
      <c r="A4" s="162" t="s">
        <v>90</v>
      </c>
      <c r="B4" s="163"/>
      <c r="C4" s="163"/>
      <c r="D4" s="163"/>
      <c r="E4" s="163"/>
      <c r="F4" s="163"/>
      <c r="G4" s="164"/>
      <c r="H4" s="1"/>
      <c r="I4" s="1"/>
      <c r="J4" s="1"/>
      <c r="K4" s="1"/>
      <c r="L4" s="1"/>
      <c r="M4" s="1"/>
      <c r="N4" s="1"/>
      <c r="O4" s="1"/>
      <c r="P4" s="1"/>
      <c r="Q4" s="1"/>
      <c r="R4" s="1"/>
    </row>
    <row r="5" spans="1:18" ht="19.5" customHeight="1" x14ac:dyDescent="0.45">
      <c r="A5" s="78"/>
      <c r="B5" s="130"/>
      <c r="C5" s="130"/>
      <c r="D5" s="130"/>
      <c r="E5" s="130"/>
      <c r="F5" s="130"/>
      <c r="G5" s="130"/>
      <c r="H5" s="1"/>
      <c r="I5" s="1"/>
      <c r="J5" s="1"/>
      <c r="K5" s="1"/>
      <c r="L5" s="1"/>
      <c r="M5" s="1"/>
      <c r="N5" s="1"/>
      <c r="O5" s="1"/>
      <c r="P5" s="1"/>
      <c r="Q5" s="1"/>
      <c r="R5" s="1"/>
    </row>
    <row r="6" spans="1:18" ht="19.5" customHeight="1" x14ac:dyDescent="0.45">
      <c r="A6" s="78"/>
      <c r="B6" s="130"/>
      <c r="C6" s="130"/>
      <c r="D6" s="130"/>
      <c r="E6" s="131" t="s">
        <v>78</v>
      </c>
      <c r="F6" s="245"/>
      <c r="G6" s="246"/>
      <c r="H6" s="1"/>
      <c r="I6" s="1"/>
      <c r="J6" s="1"/>
      <c r="K6" s="1"/>
      <c r="L6" s="1"/>
      <c r="M6" s="1"/>
      <c r="N6" s="1"/>
      <c r="O6" s="1"/>
      <c r="P6" s="1"/>
      <c r="Q6" s="1"/>
      <c r="R6" s="1"/>
    </row>
    <row r="7" spans="1:18" ht="19.5" customHeight="1" x14ac:dyDescent="0.45">
      <c r="A7" s="78"/>
      <c r="B7" s="130"/>
      <c r="C7" s="130"/>
      <c r="D7" s="130"/>
      <c r="E7" s="131" t="s">
        <v>19</v>
      </c>
      <c r="F7" s="247"/>
      <c r="G7" s="248"/>
      <c r="H7" s="1"/>
      <c r="I7" s="1"/>
      <c r="J7" s="1"/>
      <c r="K7" s="1"/>
      <c r="L7" s="1"/>
      <c r="M7" s="1"/>
      <c r="N7" s="1"/>
      <c r="O7" s="1"/>
      <c r="P7" s="1"/>
      <c r="Q7" s="1"/>
      <c r="R7" s="1"/>
    </row>
    <row r="8" spans="1:18" ht="19.5" customHeight="1" x14ac:dyDescent="0.25">
      <c r="A8" s="1"/>
      <c r="B8" s="77"/>
      <c r="C8" s="77"/>
      <c r="D8" s="77"/>
      <c r="E8" s="132"/>
      <c r="F8" s="249" t="s">
        <v>16</v>
      </c>
      <c r="G8" s="250"/>
      <c r="H8" s="1"/>
      <c r="I8" s="1"/>
      <c r="J8" s="1"/>
      <c r="K8" s="1"/>
      <c r="L8" s="1"/>
      <c r="M8" s="1"/>
      <c r="N8" s="1"/>
      <c r="O8" s="1"/>
      <c r="P8" s="1"/>
      <c r="Q8" s="1"/>
      <c r="R8" s="1"/>
    </row>
    <row r="9" spans="1:18" ht="21" customHeight="1" x14ac:dyDescent="0.25">
      <c r="A9" s="12" t="s">
        <v>95</v>
      </c>
      <c r="B9" s="133" t="s">
        <v>2</v>
      </c>
      <c r="C9" s="253" t="s">
        <v>11</v>
      </c>
      <c r="D9" s="253"/>
      <c r="E9" s="253"/>
      <c r="F9" s="253"/>
      <c r="G9" s="7" t="s">
        <v>91</v>
      </c>
      <c r="H9" s="1"/>
      <c r="I9" s="1"/>
      <c r="J9" s="1"/>
      <c r="K9" s="1"/>
      <c r="L9" s="1"/>
      <c r="M9" s="1"/>
      <c r="N9" s="1"/>
      <c r="O9" s="1"/>
      <c r="P9" s="1"/>
      <c r="Q9" s="1"/>
      <c r="R9" s="1"/>
    </row>
    <row r="10" spans="1:18" s="3" customFormat="1" ht="16.5" customHeight="1" x14ac:dyDescent="0.25">
      <c r="A10" s="6">
        <v>1</v>
      </c>
      <c r="B10" s="5"/>
      <c r="C10" s="251"/>
      <c r="D10" s="251"/>
      <c r="E10" s="251"/>
      <c r="F10" s="251"/>
      <c r="G10" s="134"/>
      <c r="H10" s="1"/>
      <c r="I10" s="1"/>
      <c r="J10" s="1"/>
      <c r="K10" s="1"/>
      <c r="L10" s="1"/>
      <c r="M10" s="1"/>
      <c r="N10" s="1"/>
      <c r="O10" s="1"/>
      <c r="P10" s="1"/>
      <c r="Q10" s="1"/>
      <c r="R10" s="1"/>
    </row>
    <row r="11" spans="1:18" ht="15" customHeight="1" x14ac:dyDescent="0.25">
      <c r="A11" s="6">
        <v>2</v>
      </c>
      <c r="B11" s="5"/>
      <c r="C11" s="251"/>
      <c r="D11" s="251"/>
      <c r="E11" s="251"/>
      <c r="F11" s="251"/>
      <c r="G11" s="134"/>
      <c r="H11" s="1"/>
      <c r="I11" s="1"/>
      <c r="J11" s="1"/>
      <c r="K11" s="1"/>
      <c r="L11" s="1"/>
      <c r="M11" s="1"/>
      <c r="N11" s="1"/>
      <c r="O11" s="1"/>
      <c r="P11" s="1"/>
      <c r="Q11" s="1"/>
      <c r="R11" s="1"/>
    </row>
    <row r="12" spans="1:18" ht="15" customHeight="1" x14ac:dyDescent="0.25">
      <c r="A12" s="6">
        <v>3</v>
      </c>
      <c r="B12" s="5"/>
      <c r="C12" s="251"/>
      <c r="D12" s="251"/>
      <c r="E12" s="251"/>
      <c r="F12" s="251"/>
      <c r="G12" s="134"/>
      <c r="H12" s="1"/>
      <c r="I12" s="1"/>
      <c r="J12" s="1"/>
      <c r="K12" s="1"/>
      <c r="L12" s="1"/>
      <c r="M12" s="1"/>
      <c r="N12" s="1"/>
      <c r="O12" s="1"/>
      <c r="P12" s="1"/>
      <c r="Q12" s="1"/>
      <c r="R12" s="1"/>
    </row>
    <row r="13" spans="1:18" ht="15" customHeight="1" x14ac:dyDescent="0.25">
      <c r="A13" s="6">
        <v>4</v>
      </c>
      <c r="B13" s="5"/>
      <c r="C13" s="251"/>
      <c r="D13" s="251"/>
      <c r="E13" s="251"/>
      <c r="F13" s="251"/>
      <c r="G13" s="134"/>
      <c r="H13" s="1"/>
      <c r="I13" s="1"/>
      <c r="J13" s="1"/>
      <c r="K13" s="1"/>
      <c r="L13" s="1"/>
      <c r="M13" s="1"/>
      <c r="N13" s="1"/>
      <c r="O13" s="1"/>
      <c r="P13" s="1"/>
      <c r="Q13" s="1"/>
      <c r="R13" s="1"/>
    </row>
    <row r="14" spans="1:18" ht="15" customHeight="1" x14ac:dyDescent="0.25">
      <c r="A14" s="6">
        <v>5</v>
      </c>
      <c r="B14" s="5"/>
      <c r="C14" s="251"/>
      <c r="D14" s="251"/>
      <c r="E14" s="251"/>
      <c r="F14" s="251"/>
      <c r="G14" s="134"/>
      <c r="H14" s="1"/>
      <c r="I14" s="1"/>
      <c r="J14" s="1"/>
      <c r="K14" s="1"/>
      <c r="L14" s="1"/>
      <c r="M14" s="1"/>
      <c r="N14" s="1"/>
      <c r="O14" s="1"/>
      <c r="P14" s="1"/>
      <c r="Q14" s="1"/>
      <c r="R14" s="1"/>
    </row>
    <row r="15" spans="1:18" ht="15" customHeight="1" x14ac:dyDescent="0.25">
      <c r="A15" s="6">
        <v>6</v>
      </c>
      <c r="B15" s="5"/>
      <c r="C15" s="251"/>
      <c r="D15" s="251"/>
      <c r="E15" s="251"/>
      <c r="F15" s="251"/>
      <c r="G15" s="134"/>
      <c r="H15" s="1"/>
      <c r="I15" s="1"/>
      <c r="J15" s="1"/>
      <c r="K15" s="1"/>
      <c r="L15" s="1"/>
      <c r="M15" s="1"/>
      <c r="N15" s="1"/>
      <c r="O15" s="1"/>
      <c r="P15" s="1"/>
      <c r="Q15" s="1"/>
      <c r="R15" s="1"/>
    </row>
    <row r="16" spans="1:18" ht="15" customHeight="1" x14ac:dyDescent="0.25">
      <c r="A16" s="6">
        <v>7</v>
      </c>
      <c r="B16" s="5"/>
      <c r="C16" s="251"/>
      <c r="D16" s="251"/>
      <c r="E16" s="251"/>
      <c r="F16" s="251"/>
      <c r="G16" s="134"/>
      <c r="H16" s="1"/>
      <c r="I16" s="1"/>
      <c r="J16" s="1"/>
      <c r="K16" s="1"/>
      <c r="L16" s="1"/>
      <c r="M16" s="1"/>
      <c r="N16" s="1"/>
      <c r="O16" s="1"/>
      <c r="P16" s="1"/>
      <c r="Q16" s="1"/>
      <c r="R16" s="1"/>
    </row>
    <row r="17" spans="1:18" ht="15" customHeight="1" x14ac:dyDescent="0.25">
      <c r="A17" s="6">
        <v>8</v>
      </c>
      <c r="B17" s="5"/>
      <c r="C17" s="251"/>
      <c r="D17" s="251"/>
      <c r="E17" s="251"/>
      <c r="F17" s="251"/>
      <c r="G17" s="134"/>
      <c r="H17" s="1"/>
      <c r="I17" s="1"/>
      <c r="J17" s="1"/>
      <c r="K17" s="1"/>
      <c r="L17" s="1"/>
      <c r="M17" s="1"/>
      <c r="N17" s="1"/>
      <c r="O17" s="1"/>
      <c r="P17" s="1"/>
      <c r="Q17" s="1"/>
      <c r="R17" s="1"/>
    </row>
    <row r="18" spans="1:18" ht="15" customHeight="1" x14ac:dyDescent="0.25">
      <c r="A18" s="6">
        <v>9</v>
      </c>
      <c r="B18" s="5"/>
      <c r="C18" s="251"/>
      <c r="D18" s="251"/>
      <c r="E18" s="251"/>
      <c r="F18" s="251"/>
      <c r="G18" s="134"/>
      <c r="H18" s="1"/>
      <c r="I18" s="1"/>
      <c r="J18" s="1"/>
      <c r="K18" s="1"/>
      <c r="L18" s="1"/>
      <c r="M18" s="1"/>
      <c r="N18" s="1"/>
      <c r="O18" s="1"/>
      <c r="P18" s="1"/>
      <c r="Q18" s="1"/>
      <c r="R18" s="1"/>
    </row>
    <row r="19" spans="1:18" ht="15" customHeight="1" x14ac:dyDescent="0.25">
      <c r="A19" s="6">
        <v>10</v>
      </c>
      <c r="B19" s="5"/>
      <c r="C19" s="251"/>
      <c r="D19" s="251"/>
      <c r="E19" s="251"/>
      <c r="F19" s="251"/>
      <c r="G19" s="134"/>
      <c r="H19" s="1"/>
      <c r="I19" s="1"/>
      <c r="J19" s="1"/>
      <c r="K19" s="1"/>
      <c r="L19" s="1"/>
      <c r="M19" s="1"/>
      <c r="N19" s="1"/>
      <c r="O19" s="1"/>
      <c r="P19" s="1"/>
      <c r="Q19" s="1"/>
      <c r="R19" s="1"/>
    </row>
    <row r="20" spans="1:18" ht="15" customHeight="1" x14ac:dyDescent="0.25">
      <c r="A20" s="6">
        <v>11</v>
      </c>
      <c r="B20" s="5"/>
      <c r="C20" s="251"/>
      <c r="D20" s="251"/>
      <c r="E20" s="251"/>
      <c r="F20" s="251"/>
      <c r="G20" s="134"/>
      <c r="H20" s="1"/>
      <c r="I20" s="1"/>
      <c r="J20" s="1"/>
      <c r="K20" s="1"/>
      <c r="L20" s="1"/>
      <c r="M20" s="1"/>
      <c r="N20" s="1"/>
      <c r="O20" s="1"/>
      <c r="P20" s="1"/>
      <c r="Q20" s="1"/>
      <c r="R20" s="1"/>
    </row>
    <row r="21" spans="1:18" ht="15" customHeight="1" x14ac:dyDescent="0.25">
      <c r="A21" s="6">
        <v>12</v>
      </c>
      <c r="B21" s="5"/>
      <c r="C21" s="251"/>
      <c r="D21" s="251"/>
      <c r="E21" s="251"/>
      <c r="F21" s="251"/>
      <c r="G21" s="134"/>
      <c r="H21" s="1"/>
      <c r="I21" s="1"/>
      <c r="J21" s="1"/>
      <c r="K21" s="1"/>
      <c r="L21" s="1"/>
      <c r="M21" s="1"/>
      <c r="N21" s="1"/>
      <c r="O21" s="1"/>
      <c r="P21" s="1"/>
      <c r="Q21" s="1"/>
      <c r="R21" s="1"/>
    </row>
    <row r="22" spans="1:18" ht="15" customHeight="1" x14ac:dyDescent="0.25">
      <c r="A22" s="6">
        <v>13</v>
      </c>
      <c r="B22" s="5"/>
      <c r="C22" s="251"/>
      <c r="D22" s="251"/>
      <c r="E22" s="251"/>
      <c r="F22" s="251"/>
      <c r="G22" s="134"/>
      <c r="H22" s="1"/>
      <c r="I22" s="1"/>
      <c r="J22" s="1"/>
      <c r="K22" s="1"/>
      <c r="L22" s="1"/>
      <c r="M22" s="1"/>
      <c r="N22" s="1"/>
      <c r="O22" s="1"/>
      <c r="P22" s="1"/>
      <c r="Q22" s="1"/>
      <c r="R22" s="1"/>
    </row>
    <row r="23" spans="1:18" ht="15" customHeight="1" x14ac:dyDescent="0.25">
      <c r="A23" s="6">
        <v>14</v>
      </c>
      <c r="B23" s="5"/>
      <c r="C23" s="251"/>
      <c r="D23" s="251"/>
      <c r="E23" s="251"/>
      <c r="F23" s="251"/>
      <c r="G23" s="134"/>
      <c r="H23" s="1"/>
      <c r="I23" s="1"/>
      <c r="J23" s="1"/>
      <c r="K23" s="1"/>
      <c r="L23" s="1"/>
      <c r="M23" s="1"/>
      <c r="N23" s="1"/>
      <c r="O23" s="1"/>
      <c r="P23" s="1"/>
      <c r="Q23" s="1"/>
      <c r="R23" s="1"/>
    </row>
    <row r="24" spans="1:18" ht="15" customHeight="1" x14ac:dyDescent="0.25">
      <c r="A24" s="6">
        <v>15</v>
      </c>
      <c r="B24" s="5"/>
      <c r="C24" s="251"/>
      <c r="D24" s="251"/>
      <c r="E24" s="251"/>
      <c r="F24" s="251"/>
      <c r="G24" s="134"/>
      <c r="H24" s="1"/>
      <c r="I24" s="1"/>
      <c r="J24" s="1"/>
      <c r="K24" s="1"/>
      <c r="L24" s="1"/>
      <c r="M24" s="1"/>
      <c r="N24" s="1"/>
      <c r="O24" s="1"/>
      <c r="P24" s="1"/>
      <c r="Q24" s="1"/>
      <c r="R24" s="1"/>
    </row>
    <row r="25" spans="1:18" ht="15" customHeight="1" x14ac:dyDescent="0.25">
      <c r="A25" s="6">
        <v>16</v>
      </c>
      <c r="B25" s="5"/>
      <c r="C25" s="251"/>
      <c r="D25" s="251"/>
      <c r="E25" s="251"/>
      <c r="F25" s="251"/>
      <c r="G25" s="134"/>
      <c r="H25" s="1"/>
      <c r="I25" s="1"/>
      <c r="J25" s="1"/>
      <c r="K25" s="1"/>
      <c r="L25" s="1"/>
      <c r="M25" s="1"/>
      <c r="N25" s="1"/>
      <c r="O25" s="1"/>
      <c r="P25" s="1"/>
      <c r="Q25" s="1"/>
      <c r="R25" s="1"/>
    </row>
    <row r="26" spans="1:18" ht="15" customHeight="1" x14ac:dyDescent="0.25">
      <c r="A26" s="6">
        <v>17</v>
      </c>
      <c r="B26" s="5"/>
      <c r="C26" s="251"/>
      <c r="D26" s="251"/>
      <c r="E26" s="251"/>
      <c r="F26" s="251"/>
      <c r="G26" s="134"/>
      <c r="H26" s="1"/>
      <c r="I26" s="1"/>
      <c r="J26" s="1"/>
      <c r="K26" s="1"/>
      <c r="L26" s="1"/>
      <c r="M26" s="1"/>
      <c r="N26" s="1"/>
      <c r="O26" s="1"/>
      <c r="P26" s="1"/>
      <c r="Q26" s="1"/>
      <c r="R26" s="1"/>
    </row>
    <row r="27" spans="1:18" ht="15" customHeight="1" x14ac:dyDescent="0.25">
      <c r="A27" s="6">
        <v>18</v>
      </c>
      <c r="B27" s="5"/>
      <c r="C27" s="251"/>
      <c r="D27" s="251"/>
      <c r="E27" s="251"/>
      <c r="F27" s="251"/>
      <c r="G27" s="134"/>
      <c r="H27" s="1"/>
      <c r="I27" s="1"/>
      <c r="J27" s="1"/>
      <c r="K27" s="1"/>
      <c r="L27" s="1"/>
      <c r="M27" s="1"/>
      <c r="N27" s="1"/>
      <c r="O27" s="1"/>
      <c r="P27" s="1"/>
      <c r="Q27" s="1"/>
      <c r="R27" s="1"/>
    </row>
    <row r="28" spans="1:18" ht="15" customHeight="1" x14ac:dyDescent="0.25">
      <c r="A28" s="6">
        <v>19</v>
      </c>
      <c r="B28" s="5"/>
      <c r="C28" s="251"/>
      <c r="D28" s="251"/>
      <c r="E28" s="251"/>
      <c r="F28" s="251"/>
      <c r="G28" s="134"/>
      <c r="H28" s="1"/>
      <c r="I28" s="1"/>
      <c r="J28" s="1"/>
      <c r="K28" s="1"/>
      <c r="L28" s="1"/>
      <c r="M28" s="1"/>
      <c r="N28" s="1"/>
      <c r="O28" s="1"/>
      <c r="P28" s="1"/>
      <c r="Q28" s="1"/>
      <c r="R28" s="1"/>
    </row>
    <row r="29" spans="1:18" ht="15" customHeight="1" x14ac:dyDescent="0.25">
      <c r="A29" s="6">
        <v>20</v>
      </c>
      <c r="B29" s="5"/>
      <c r="C29" s="251"/>
      <c r="D29" s="251"/>
      <c r="E29" s="251"/>
      <c r="F29" s="251"/>
      <c r="G29" s="134"/>
      <c r="H29" s="1"/>
      <c r="I29" s="1"/>
      <c r="J29" s="1"/>
      <c r="K29" s="1"/>
      <c r="L29" s="1"/>
      <c r="M29" s="1"/>
      <c r="N29" s="1"/>
      <c r="O29" s="1"/>
      <c r="P29" s="1"/>
      <c r="Q29" s="1"/>
      <c r="R29" s="1"/>
    </row>
    <row r="30" spans="1:18" ht="15" customHeight="1" x14ac:dyDescent="0.25">
      <c r="A30" s="6">
        <v>21</v>
      </c>
      <c r="B30" s="5"/>
      <c r="C30" s="251"/>
      <c r="D30" s="251"/>
      <c r="E30" s="251"/>
      <c r="F30" s="251"/>
      <c r="G30" s="134"/>
      <c r="H30" s="1"/>
      <c r="I30" s="1"/>
      <c r="J30" s="1"/>
      <c r="K30" s="1"/>
      <c r="L30" s="1"/>
      <c r="M30" s="1"/>
      <c r="N30" s="1"/>
      <c r="O30" s="1"/>
      <c r="P30" s="1"/>
      <c r="Q30" s="1"/>
      <c r="R30" s="1"/>
    </row>
    <row r="31" spans="1:18" ht="15" customHeight="1" x14ac:dyDescent="0.25">
      <c r="A31" s="6">
        <v>22</v>
      </c>
      <c r="B31" s="5"/>
      <c r="C31" s="251"/>
      <c r="D31" s="251"/>
      <c r="E31" s="251"/>
      <c r="F31" s="251"/>
      <c r="G31" s="134"/>
      <c r="H31" s="1"/>
      <c r="I31" s="1"/>
      <c r="J31" s="1"/>
      <c r="K31" s="1"/>
      <c r="L31" s="1"/>
      <c r="M31" s="1"/>
      <c r="N31" s="1"/>
      <c r="O31" s="1"/>
      <c r="P31" s="1"/>
      <c r="Q31" s="1"/>
      <c r="R31" s="1"/>
    </row>
    <row r="32" spans="1:18" ht="15" customHeight="1" x14ac:dyDescent="0.25">
      <c r="A32" s="6">
        <v>23</v>
      </c>
      <c r="B32" s="5"/>
      <c r="C32" s="251"/>
      <c r="D32" s="251"/>
      <c r="E32" s="251"/>
      <c r="F32" s="251"/>
      <c r="G32" s="134"/>
      <c r="H32" s="1"/>
      <c r="I32" s="1"/>
      <c r="J32" s="1"/>
      <c r="K32" s="1"/>
      <c r="L32" s="1"/>
      <c r="M32" s="1"/>
      <c r="N32" s="1"/>
      <c r="O32" s="1"/>
      <c r="P32" s="1"/>
      <c r="Q32" s="1"/>
      <c r="R32" s="1"/>
    </row>
    <row r="33" spans="1:18" ht="15" customHeight="1" x14ac:dyDescent="0.25">
      <c r="A33" s="6">
        <v>24</v>
      </c>
      <c r="B33" s="5"/>
      <c r="C33" s="251"/>
      <c r="D33" s="251"/>
      <c r="E33" s="251"/>
      <c r="F33" s="251"/>
      <c r="G33" s="134"/>
      <c r="H33" s="1"/>
      <c r="I33" s="1"/>
      <c r="J33" s="1"/>
      <c r="K33" s="1"/>
      <c r="L33" s="1"/>
      <c r="M33" s="1"/>
      <c r="N33" s="1"/>
      <c r="O33" s="1"/>
      <c r="P33" s="1"/>
      <c r="Q33" s="1"/>
      <c r="R33" s="1"/>
    </row>
    <row r="34" spans="1:18" ht="13.5" customHeight="1" x14ac:dyDescent="0.25">
      <c r="A34" s="6">
        <v>25</v>
      </c>
      <c r="B34" s="5"/>
      <c r="C34" s="251"/>
      <c r="D34" s="251"/>
      <c r="E34" s="251"/>
      <c r="F34" s="251"/>
      <c r="G34" s="134"/>
      <c r="H34" s="1"/>
      <c r="I34" s="1"/>
      <c r="J34" s="1"/>
      <c r="K34" s="1"/>
      <c r="L34" s="1"/>
      <c r="M34" s="1"/>
      <c r="N34" s="1"/>
      <c r="O34" s="1"/>
      <c r="P34" s="1"/>
      <c r="Q34" s="1"/>
      <c r="R34" s="1"/>
    </row>
    <row r="35" spans="1:18" ht="15" customHeight="1" x14ac:dyDescent="0.25">
      <c r="A35" s="6">
        <v>26</v>
      </c>
      <c r="B35" s="5"/>
      <c r="C35" s="251"/>
      <c r="D35" s="251"/>
      <c r="E35" s="251"/>
      <c r="F35" s="251"/>
      <c r="G35" s="134"/>
      <c r="H35" s="1"/>
      <c r="I35" s="1"/>
      <c r="J35" s="1"/>
      <c r="K35" s="1"/>
      <c r="L35" s="1"/>
      <c r="M35" s="1"/>
      <c r="N35" s="1"/>
      <c r="O35" s="1"/>
      <c r="P35" s="1"/>
      <c r="Q35" s="1"/>
      <c r="R35" s="1"/>
    </row>
    <row r="36" spans="1:18" ht="15" customHeight="1" x14ac:dyDescent="0.25">
      <c r="A36" s="6">
        <v>27</v>
      </c>
      <c r="B36" s="5"/>
      <c r="C36" s="251"/>
      <c r="D36" s="251"/>
      <c r="E36" s="251"/>
      <c r="F36" s="251"/>
      <c r="G36" s="134"/>
      <c r="H36" s="1"/>
      <c r="I36" s="1"/>
      <c r="J36" s="1"/>
      <c r="K36" s="1"/>
      <c r="L36" s="1"/>
      <c r="M36" s="1"/>
      <c r="N36" s="1"/>
      <c r="O36" s="1"/>
      <c r="P36" s="1"/>
      <c r="Q36" s="1"/>
      <c r="R36" s="1"/>
    </row>
    <row r="37" spans="1:18" ht="15" customHeight="1" x14ac:dyDescent="0.25">
      <c r="A37" s="6">
        <v>28</v>
      </c>
      <c r="B37" s="5"/>
      <c r="C37" s="251"/>
      <c r="D37" s="251"/>
      <c r="E37" s="251"/>
      <c r="F37" s="251"/>
      <c r="G37" s="134"/>
      <c r="H37" s="1"/>
      <c r="I37" s="1"/>
      <c r="J37" s="1"/>
      <c r="K37" s="1"/>
      <c r="L37" s="1"/>
      <c r="M37" s="1"/>
      <c r="N37" s="1"/>
      <c r="O37" s="1"/>
      <c r="P37" s="1"/>
      <c r="Q37" s="1"/>
      <c r="R37" s="1"/>
    </row>
    <row r="38" spans="1:18" ht="15" customHeight="1" x14ac:dyDescent="0.25">
      <c r="A38" s="6">
        <v>29</v>
      </c>
      <c r="B38" s="5"/>
      <c r="C38" s="251"/>
      <c r="D38" s="251"/>
      <c r="E38" s="251"/>
      <c r="F38" s="251"/>
      <c r="G38" s="134"/>
      <c r="H38" s="1"/>
      <c r="I38" s="1"/>
      <c r="J38" s="1"/>
      <c r="K38" s="1"/>
      <c r="L38" s="1"/>
      <c r="M38" s="1"/>
      <c r="N38" s="1"/>
      <c r="O38" s="1"/>
      <c r="P38" s="1"/>
      <c r="Q38" s="1"/>
      <c r="R38" s="1"/>
    </row>
    <row r="39" spans="1:18" ht="15" customHeight="1" x14ac:dyDescent="0.25">
      <c r="A39" s="6">
        <v>30</v>
      </c>
      <c r="B39" s="5"/>
      <c r="C39" s="251"/>
      <c r="D39" s="251"/>
      <c r="E39" s="251"/>
      <c r="F39" s="251"/>
      <c r="G39" s="134"/>
      <c r="H39" s="1"/>
      <c r="I39" s="1"/>
      <c r="J39" s="1"/>
      <c r="K39" s="1"/>
      <c r="L39" s="1"/>
      <c r="M39" s="1"/>
      <c r="N39" s="1"/>
      <c r="O39" s="1"/>
      <c r="P39" s="1"/>
      <c r="Q39" s="1"/>
      <c r="R39" s="1"/>
    </row>
    <row r="40" spans="1:18" ht="15" customHeight="1" x14ac:dyDescent="0.25">
      <c r="A40" s="6">
        <v>31</v>
      </c>
      <c r="B40" s="5"/>
      <c r="C40" s="251"/>
      <c r="D40" s="251"/>
      <c r="E40" s="251"/>
      <c r="F40" s="251"/>
      <c r="G40" s="134"/>
      <c r="H40" s="1"/>
      <c r="I40" s="1"/>
      <c r="J40" s="1"/>
      <c r="K40" s="1"/>
      <c r="L40" s="1"/>
      <c r="M40" s="1"/>
      <c r="N40" s="1"/>
      <c r="O40" s="1"/>
      <c r="P40" s="1"/>
      <c r="Q40" s="1"/>
      <c r="R40" s="1"/>
    </row>
    <row r="41" spans="1:18" ht="15" customHeight="1" x14ac:dyDescent="0.25">
      <c r="A41" s="6">
        <v>32</v>
      </c>
      <c r="B41" s="5"/>
      <c r="C41" s="251"/>
      <c r="D41" s="251"/>
      <c r="E41" s="251"/>
      <c r="F41" s="251"/>
      <c r="G41" s="134"/>
      <c r="H41" s="1"/>
      <c r="I41" s="1"/>
      <c r="J41" s="1"/>
      <c r="K41" s="1"/>
      <c r="L41" s="1"/>
      <c r="M41" s="1"/>
      <c r="N41" s="1"/>
      <c r="O41" s="1"/>
      <c r="P41" s="1"/>
      <c r="Q41" s="1"/>
      <c r="R41" s="1"/>
    </row>
    <row r="42" spans="1:18" ht="15" customHeight="1" x14ac:dyDescent="0.25">
      <c r="A42" s="6">
        <v>33</v>
      </c>
      <c r="B42" s="5"/>
      <c r="C42" s="251"/>
      <c r="D42" s="251"/>
      <c r="E42" s="251"/>
      <c r="F42" s="251"/>
      <c r="G42" s="134"/>
      <c r="H42" s="1"/>
      <c r="I42" s="1"/>
      <c r="J42" s="1"/>
      <c r="K42" s="1"/>
      <c r="L42" s="1"/>
      <c r="M42" s="1"/>
      <c r="N42" s="1"/>
      <c r="O42" s="1"/>
      <c r="P42" s="1"/>
      <c r="Q42" s="1"/>
      <c r="R42" s="1"/>
    </row>
    <row r="43" spans="1:18" ht="13.5" customHeight="1" x14ac:dyDescent="0.25">
      <c r="A43" s="6">
        <v>34</v>
      </c>
      <c r="B43" s="5"/>
      <c r="C43" s="251"/>
      <c r="D43" s="251"/>
      <c r="E43" s="251"/>
      <c r="F43" s="251"/>
      <c r="G43" s="134"/>
      <c r="H43" s="1"/>
      <c r="I43" s="1"/>
      <c r="J43" s="1"/>
      <c r="K43" s="1"/>
      <c r="L43" s="1"/>
      <c r="M43" s="1"/>
      <c r="N43" s="1"/>
      <c r="O43" s="1"/>
      <c r="P43" s="1"/>
      <c r="Q43" s="1"/>
      <c r="R43" s="1"/>
    </row>
    <row r="44" spans="1:18" ht="15" customHeight="1" x14ac:dyDescent="0.25">
      <c r="A44" s="6">
        <v>35</v>
      </c>
      <c r="B44" s="5"/>
      <c r="C44" s="251"/>
      <c r="D44" s="251"/>
      <c r="E44" s="251"/>
      <c r="F44" s="251"/>
      <c r="G44" s="134"/>
      <c r="H44" s="1"/>
      <c r="I44" s="1"/>
      <c r="J44" s="1"/>
      <c r="K44" s="1"/>
      <c r="L44" s="1"/>
      <c r="M44" s="1"/>
      <c r="N44" s="1"/>
      <c r="O44" s="1"/>
      <c r="P44" s="1"/>
      <c r="Q44" s="1"/>
      <c r="R44" s="1"/>
    </row>
    <row r="45" spans="1:18" ht="15" customHeight="1" x14ac:dyDescent="0.25">
      <c r="A45" s="6">
        <v>36</v>
      </c>
      <c r="B45" s="5"/>
      <c r="C45" s="251"/>
      <c r="D45" s="251"/>
      <c r="E45" s="251"/>
      <c r="F45" s="251"/>
      <c r="G45" s="134"/>
      <c r="H45" s="1"/>
      <c r="I45" s="1"/>
      <c r="J45" s="1"/>
      <c r="K45" s="1"/>
      <c r="L45" s="1"/>
      <c r="M45" s="1"/>
      <c r="N45" s="1"/>
      <c r="O45" s="1"/>
      <c r="P45" s="1"/>
      <c r="Q45" s="1"/>
      <c r="R45" s="1"/>
    </row>
    <row r="46" spans="1:18" ht="15" customHeight="1" x14ac:dyDescent="0.25">
      <c r="A46" s="6">
        <v>37</v>
      </c>
      <c r="B46" s="5"/>
      <c r="C46" s="251"/>
      <c r="D46" s="251"/>
      <c r="E46" s="251"/>
      <c r="F46" s="251"/>
      <c r="G46" s="134"/>
      <c r="H46" s="1"/>
      <c r="I46" s="1"/>
      <c r="J46" s="1"/>
      <c r="K46" s="1"/>
      <c r="L46" s="1"/>
      <c r="M46" s="1"/>
      <c r="N46" s="1"/>
      <c r="O46" s="1"/>
      <c r="P46" s="1"/>
      <c r="Q46" s="1"/>
      <c r="R46" s="1"/>
    </row>
    <row r="47" spans="1:18" ht="15" customHeight="1" x14ac:dyDescent="0.25">
      <c r="A47" s="6">
        <v>38</v>
      </c>
      <c r="B47" s="5"/>
      <c r="C47" s="251"/>
      <c r="D47" s="251"/>
      <c r="E47" s="251"/>
      <c r="F47" s="251"/>
      <c r="G47" s="134"/>
      <c r="H47" s="1"/>
      <c r="I47" s="1"/>
      <c r="J47" s="1"/>
      <c r="K47" s="1"/>
      <c r="L47" s="1"/>
      <c r="M47" s="1"/>
      <c r="N47" s="1"/>
      <c r="O47" s="1"/>
      <c r="P47" s="1"/>
      <c r="Q47" s="1"/>
      <c r="R47" s="1"/>
    </row>
    <row r="48" spans="1:18" ht="15" customHeight="1" x14ac:dyDescent="0.25">
      <c r="A48" s="6">
        <v>39</v>
      </c>
      <c r="B48" s="5"/>
      <c r="C48" s="251"/>
      <c r="D48" s="251"/>
      <c r="E48" s="251"/>
      <c r="F48" s="251"/>
      <c r="G48" s="134"/>
      <c r="H48" s="1"/>
      <c r="I48" s="1"/>
      <c r="J48" s="1"/>
      <c r="K48" s="1"/>
      <c r="L48" s="1"/>
      <c r="M48" s="1"/>
      <c r="N48" s="1"/>
      <c r="O48" s="1"/>
      <c r="P48" s="1"/>
      <c r="Q48" s="1"/>
      <c r="R48" s="1"/>
    </row>
    <row r="49" spans="1:18" ht="15" customHeight="1" x14ac:dyDescent="0.25">
      <c r="A49" s="6">
        <v>40</v>
      </c>
      <c r="B49" s="5"/>
      <c r="C49" s="251"/>
      <c r="D49" s="251"/>
      <c r="E49" s="251"/>
      <c r="F49" s="251"/>
      <c r="G49" s="134"/>
      <c r="H49" s="1"/>
      <c r="I49" s="1"/>
      <c r="J49" s="1"/>
      <c r="K49" s="1"/>
      <c r="L49" s="1"/>
      <c r="M49" s="1"/>
      <c r="N49" s="1"/>
      <c r="O49" s="1"/>
      <c r="P49" s="1"/>
      <c r="Q49" s="1"/>
      <c r="R49" s="1"/>
    </row>
    <row r="50" spans="1:18" ht="15" customHeight="1" x14ac:dyDescent="0.25">
      <c r="A50" s="6">
        <v>41</v>
      </c>
      <c r="B50" s="5"/>
      <c r="C50" s="251"/>
      <c r="D50" s="251"/>
      <c r="E50" s="251"/>
      <c r="F50" s="251"/>
      <c r="G50" s="134"/>
      <c r="H50" s="1"/>
      <c r="I50" s="1"/>
      <c r="J50" s="1"/>
      <c r="K50" s="1"/>
      <c r="L50" s="1"/>
      <c r="M50" s="1"/>
      <c r="N50" s="1"/>
      <c r="O50" s="1"/>
      <c r="P50" s="1"/>
      <c r="Q50" s="1"/>
      <c r="R50" s="1"/>
    </row>
    <row r="51" spans="1:18" ht="15" customHeight="1" x14ac:dyDescent="0.25">
      <c r="A51" s="6">
        <v>42</v>
      </c>
      <c r="B51" s="5"/>
      <c r="C51" s="251"/>
      <c r="D51" s="251"/>
      <c r="E51" s="251"/>
      <c r="F51" s="251"/>
      <c r="G51" s="134"/>
      <c r="H51" s="1"/>
      <c r="I51" s="1"/>
      <c r="J51" s="1"/>
      <c r="K51" s="1"/>
      <c r="L51" s="1"/>
      <c r="M51" s="1"/>
      <c r="N51" s="1"/>
      <c r="O51" s="1"/>
      <c r="P51" s="1"/>
      <c r="Q51" s="1"/>
      <c r="R51" s="1"/>
    </row>
    <row r="52" spans="1:18" ht="15" customHeight="1" x14ac:dyDescent="0.25">
      <c r="A52" s="6">
        <v>43</v>
      </c>
      <c r="B52" s="5"/>
      <c r="C52" s="251"/>
      <c r="D52" s="251"/>
      <c r="E52" s="251"/>
      <c r="F52" s="251"/>
      <c r="G52" s="134"/>
      <c r="H52" s="1"/>
      <c r="I52" s="1"/>
      <c r="J52" s="1"/>
      <c r="K52" s="1"/>
      <c r="L52" s="1"/>
      <c r="M52" s="1"/>
      <c r="N52" s="1"/>
      <c r="O52" s="1"/>
      <c r="P52" s="1"/>
      <c r="Q52" s="1"/>
      <c r="R52" s="1"/>
    </row>
    <row r="53" spans="1:18" ht="15" customHeight="1" x14ac:dyDescent="0.25">
      <c r="A53" s="6">
        <v>44</v>
      </c>
      <c r="B53" s="5"/>
      <c r="C53" s="251"/>
      <c r="D53" s="251"/>
      <c r="E53" s="251"/>
      <c r="F53" s="251"/>
      <c r="G53" s="134"/>
      <c r="H53" s="1"/>
      <c r="I53" s="1"/>
      <c r="J53" s="1"/>
      <c r="K53" s="1"/>
      <c r="L53" s="1"/>
      <c r="M53" s="1"/>
      <c r="N53" s="1"/>
      <c r="O53" s="1"/>
      <c r="P53" s="1"/>
      <c r="Q53" s="1"/>
      <c r="R53" s="1"/>
    </row>
    <row r="54" spans="1:18" ht="15" customHeight="1" x14ac:dyDescent="0.25">
      <c r="A54" s="6">
        <v>45</v>
      </c>
      <c r="B54" s="5"/>
      <c r="C54" s="251"/>
      <c r="D54" s="251"/>
      <c r="E54" s="251"/>
      <c r="F54" s="251"/>
      <c r="G54" s="134"/>
      <c r="H54" s="1"/>
      <c r="I54" s="1"/>
      <c r="J54" s="1"/>
      <c r="K54" s="1"/>
      <c r="L54" s="1"/>
      <c r="M54" s="1"/>
      <c r="N54" s="1"/>
      <c r="O54" s="1"/>
      <c r="P54" s="1"/>
      <c r="Q54" s="1"/>
      <c r="R54" s="1"/>
    </row>
    <row r="55" spans="1:18" ht="15" customHeight="1" x14ac:dyDescent="0.25">
      <c r="A55" s="6">
        <v>46</v>
      </c>
      <c r="B55" s="5"/>
      <c r="C55" s="251"/>
      <c r="D55" s="251"/>
      <c r="E55" s="251"/>
      <c r="F55" s="251"/>
      <c r="G55" s="134"/>
      <c r="H55" s="1"/>
      <c r="I55" s="1"/>
      <c r="J55" s="1"/>
      <c r="K55" s="1"/>
      <c r="L55" s="1"/>
      <c r="M55" s="1"/>
      <c r="N55" s="1"/>
      <c r="O55" s="1"/>
      <c r="P55" s="1"/>
      <c r="Q55" s="1"/>
      <c r="R55" s="1"/>
    </row>
    <row r="56" spans="1:18" ht="15" customHeight="1" x14ac:dyDescent="0.25">
      <c r="A56" s="6">
        <v>47</v>
      </c>
      <c r="B56" s="5"/>
      <c r="C56" s="251"/>
      <c r="D56" s="251"/>
      <c r="E56" s="251"/>
      <c r="F56" s="251"/>
      <c r="G56" s="134"/>
      <c r="H56" s="1"/>
      <c r="I56" s="1"/>
      <c r="J56" s="1"/>
      <c r="K56" s="1"/>
      <c r="L56" s="1"/>
      <c r="M56" s="1"/>
      <c r="N56" s="1"/>
      <c r="O56" s="1"/>
      <c r="P56" s="1"/>
      <c r="Q56" s="1"/>
      <c r="R56" s="1"/>
    </row>
    <row r="57" spans="1:18" ht="31.5" customHeight="1" x14ac:dyDescent="0.25">
      <c r="A57" s="252" t="s">
        <v>93</v>
      </c>
      <c r="B57" s="252"/>
      <c r="C57" s="252"/>
      <c r="D57" s="136">
        <f>G57*0.3</f>
        <v>0</v>
      </c>
      <c r="E57" s="133"/>
      <c r="F57" s="135" t="s">
        <v>94</v>
      </c>
      <c r="G57" s="7">
        <f>SUM(G10:G56)</f>
        <v>0</v>
      </c>
      <c r="H57" s="1"/>
      <c r="I57" s="1"/>
      <c r="J57" s="1"/>
      <c r="K57" s="1"/>
      <c r="L57" s="1"/>
      <c r="M57" s="1"/>
      <c r="N57" s="1"/>
      <c r="O57" s="1"/>
      <c r="P57" s="1"/>
      <c r="Q57" s="1"/>
      <c r="R57" s="1"/>
    </row>
    <row r="58" spans="1:18" ht="15" customHeight="1" x14ac:dyDescent="0.25">
      <c r="A58" s="9"/>
      <c r="B58" s="9"/>
      <c r="C58" s="9"/>
      <c r="D58" s="9"/>
      <c r="E58" s="9"/>
      <c r="F58" s="1"/>
      <c r="G58" s="10"/>
    </row>
    <row r="59" spans="1:18" ht="15" customHeight="1" x14ac:dyDescent="0.25">
      <c r="A59" s="9"/>
      <c r="B59" s="9"/>
      <c r="C59" s="9"/>
      <c r="D59" s="9"/>
      <c r="E59" s="9"/>
      <c r="F59" s="1"/>
      <c r="G59" s="10"/>
    </row>
  </sheetData>
  <protectedRanges>
    <protectedRange sqref="B10:G56" name="Range1_1"/>
    <protectedRange sqref="F8:G8 F1:G6" name="Range1_1_2"/>
    <protectedRange sqref="F7:G7" name="Range1_1_1_2"/>
  </protectedRanges>
  <dataConsolidate/>
  <mergeCells count="53">
    <mergeCell ref="C43:F43"/>
    <mergeCell ref="C44:F44"/>
    <mergeCell ref="C45:F45"/>
    <mergeCell ref="C38:F38"/>
    <mergeCell ref="C39:F39"/>
    <mergeCell ref="A57:C57"/>
    <mergeCell ref="C9:F9"/>
    <mergeCell ref="C51:F51"/>
    <mergeCell ref="C52:F52"/>
    <mergeCell ref="C53:F53"/>
    <mergeCell ref="C54:F54"/>
    <mergeCell ref="C47:F47"/>
    <mergeCell ref="C48:F48"/>
    <mergeCell ref="C49:F49"/>
    <mergeCell ref="C50:F50"/>
    <mergeCell ref="C25:F25"/>
    <mergeCell ref="C14:F14"/>
    <mergeCell ref="C15:F15"/>
    <mergeCell ref="C16:F16"/>
    <mergeCell ref="C17:F17"/>
    <mergeCell ref="C18:F18"/>
    <mergeCell ref="C56:F56"/>
    <mergeCell ref="C10:F10"/>
    <mergeCell ref="C11:F11"/>
    <mergeCell ref="C12:F12"/>
    <mergeCell ref="C13:F13"/>
    <mergeCell ref="C19:F19"/>
    <mergeCell ref="C20:F20"/>
    <mergeCell ref="C21:F21"/>
    <mergeCell ref="C22:F22"/>
    <mergeCell ref="C23:F23"/>
    <mergeCell ref="C40:F40"/>
    <mergeCell ref="C36:F36"/>
    <mergeCell ref="C37:F37"/>
    <mergeCell ref="C26:F26"/>
    <mergeCell ref="C27:F27"/>
    <mergeCell ref="C24:F24"/>
    <mergeCell ref="A4:G4"/>
    <mergeCell ref="F6:G6"/>
    <mergeCell ref="F7:G7"/>
    <mergeCell ref="F8:G8"/>
    <mergeCell ref="C55:F55"/>
    <mergeCell ref="C28:F28"/>
    <mergeCell ref="C29:F29"/>
    <mergeCell ref="C30:F30"/>
    <mergeCell ref="C31:F31"/>
    <mergeCell ref="C32:F32"/>
    <mergeCell ref="C41:F41"/>
    <mergeCell ref="C34:F34"/>
    <mergeCell ref="C35:F35"/>
    <mergeCell ref="C33:F33"/>
    <mergeCell ref="C46:F46"/>
    <mergeCell ref="C42:F42"/>
  </mergeCells>
  <phoneticPr fontId="2" type="noConversion"/>
  <printOptions horizontalCentered="1" verticalCentered="1"/>
  <pageMargins left="0.35433070866141736" right="0.23622047244094491" top="0.19685039370078741" bottom="0.39370078740157483" header="0.15748031496062992" footer="0"/>
  <pageSetup paperSize="9" scale="8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7"/>
  </sheetPr>
  <dimension ref="A1:O156"/>
  <sheetViews>
    <sheetView topLeftCell="A79" workbookViewId="0">
      <selection activeCell="A61" sqref="A61"/>
    </sheetView>
  </sheetViews>
  <sheetFormatPr defaultRowHeight="12.5" x14ac:dyDescent="0.25"/>
  <sheetData>
    <row r="1" spans="1:15" s="11" customFormat="1" ht="21.75" customHeight="1" x14ac:dyDescent="0.35">
      <c r="A1" s="254" t="s">
        <v>105</v>
      </c>
      <c r="B1" s="254"/>
      <c r="C1" s="254"/>
      <c r="D1" s="254"/>
      <c r="E1" s="254"/>
      <c r="F1" s="254"/>
      <c r="G1" s="254"/>
      <c r="H1" s="254"/>
      <c r="I1" s="254"/>
      <c r="J1" s="254"/>
      <c r="K1" s="254"/>
      <c r="L1" s="254"/>
      <c r="M1" s="254"/>
      <c r="N1" s="254"/>
      <c r="O1" s="254"/>
    </row>
    <row r="2" spans="1:15" ht="15.5" x14ac:dyDescent="0.35">
      <c r="A2" s="21"/>
      <c r="B2" s="21"/>
      <c r="C2" s="21"/>
      <c r="D2" s="21"/>
      <c r="E2" s="21"/>
      <c r="F2" s="21"/>
      <c r="G2" s="21"/>
      <c r="H2" s="21"/>
      <c r="I2" s="21"/>
      <c r="J2" s="21"/>
      <c r="K2" s="21"/>
      <c r="L2" s="21"/>
      <c r="M2" s="21"/>
      <c r="N2" s="21"/>
      <c r="O2" s="21"/>
    </row>
    <row r="3" spans="1:15" ht="21" customHeight="1" x14ac:dyDescent="0.35">
      <c r="A3" s="21" t="s">
        <v>106</v>
      </c>
      <c r="B3" s="21"/>
      <c r="C3" s="21"/>
      <c r="D3" s="21"/>
      <c r="E3" s="21"/>
      <c r="F3" s="21"/>
      <c r="G3" s="21"/>
      <c r="H3" s="21"/>
      <c r="I3" s="21"/>
      <c r="J3" s="21"/>
      <c r="K3" s="21"/>
      <c r="L3" s="21"/>
      <c r="M3" s="21"/>
      <c r="N3" s="21"/>
      <c r="O3" s="21"/>
    </row>
    <row r="4" spans="1:15" ht="15.5" x14ac:dyDescent="0.35">
      <c r="A4" s="21"/>
      <c r="B4" s="21"/>
      <c r="C4" s="21"/>
      <c r="D4" s="21"/>
      <c r="E4" s="21"/>
      <c r="F4" s="21"/>
      <c r="G4" s="21"/>
      <c r="H4" s="21"/>
      <c r="I4" s="21"/>
      <c r="J4" s="21"/>
      <c r="K4" s="21"/>
      <c r="L4" s="21"/>
      <c r="M4" s="21"/>
      <c r="N4" s="21"/>
      <c r="O4" s="21"/>
    </row>
    <row r="5" spans="1:15" ht="18" customHeight="1" x14ac:dyDescent="0.35">
      <c r="A5" s="21" t="s">
        <v>211</v>
      </c>
      <c r="B5" s="21"/>
      <c r="C5" s="21"/>
      <c r="D5" s="21"/>
      <c r="E5" s="21"/>
      <c r="F5" s="21"/>
      <c r="G5" s="21"/>
      <c r="H5" s="21"/>
      <c r="I5" s="21"/>
      <c r="J5" s="21"/>
      <c r="K5" s="21"/>
      <c r="L5" s="21"/>
      <c r="M5" s="21"/>
      <c r="N5" s="21"/>
      <c r="O5" s="21"/>
    </row>
    <row r="6" spans="1:15" ht="18" customHeight="1" x14ac:dyDescent="0.35">
      <c r="A6" s="21" t="s">
        <v>212</v>
      </c>
      <c r="B6" s="21"/>
      <c r="C6" s="21"/>
      <c r="D6" s="21"/>
      <c r="E6" s="21"/>
      <c r="F6" s="21"/>
      <c r="G6" s="21"/>
      <c r="H6" s="21"/>
      <c r="I6" s="21"/>
      <c r="J6" s="21"/>
      <c r="K6" s="21"/>
      <c r="L6" s="21"/>
      <c r="M6" s="21"/>
      <c r="N6" s="21"/>
      <c r="O6" s="21"/>
    </row>
    <row r="7" spans="1:15" ht="17.25" customHeight="1" x14ac:dyDescent="0.35">
      <c r="A7" s="21" t="s">
        <v>107</v>
      </c>
      <c r="B7" s="21"/>
      <c r="C7" s="21"/>
      <c r="D7" s="21"/>
      <c r="E7" s="21"/>
      <c r="F7" s="21"/>
      <c r="G7" s="21"/>
      <c r="H7" s="21"/>
      <c r="I7" s="21"/>
      <c r="J7" s="21"/>
      <c r="K7" s="21"/>
      <c r="L7" s="21"/>
      <c r="M7" s="21"/>
      <c r="N7" s="21"/>
      <c r="O7" s="21"/>
    </row>
    <row r="8" spans="1:15" ht="19.5" customHeight="1" x14ac:dyDescent="0.35">
      <c r="A8" s="21" t="s">
        <v>108</v>
      </c>
      <c r="B8" s="21"/>
      <c r="C8" s="21"/>
      <c r="D8" s="21"/>
      <c r="E8" s="21"/>
      <c r="F8" s="21"/>
      <c r="G8" s="21"/>
      <c r="H8" s="21"/>
      <c r="I8" s="21"/>
      <c r="J8" s="21"/>
      <c r="K8" s="21"/>
      <c r="L8" s="21"/>
      <c r="M8" s="21"/>
      <c r="N8" s="21"/>
      <c r="O8" s="21"/>
    </row>
    <row r="9" spans="1:15" ht="15.5" x14ac:dyDescent="0.35">
      <c r="A9" s="21"/>
      <c r="B9" s="21"/>
      <c r="C9" s="21"/>
      <c r="D9" s="21"/>
      <c r="E9" s="21"/>
      <c r="F9" s="21"/>
      <c r="G9" s="21"/>
      <c r="H9" s="21"/>
      <c r="I9" s="21"/>
      <c r="J9" s="21"/>
      <c r="K9" s="21"/>
      <c r="L9" s="21"/>
      <c r="M9" s="21"/>
      <c r="N9" s="21"/>
      <c r="O9" s="21"/>
    </row>
    <row r="10" spans="1:15" ht="15.5" x14ac:dyDescent="0.35">
      <c r="A10" s="21" t="s">
        <v>213</v>
      </c>
      <c r="B10" s="21"/>
      <c r="C10" s="21"/>
      <c r="D10" s="21"/>
      <c r="E10" s="21"/>
      <c r="F10" s="21"/>
      <c r="G10" s="21"/>
      <c r="H10" s="21"/>
      <c r="I10" s="21"/>
      <c r="J10" s="21"/>
      <c r="K10" s="21"/>
      <c r="L10" s="21"/>
      <c r="M10" s="21"/>
      <c r="N10" s="21"/>
      <c r="O10" s="21"/>
    </row>
    <row r="11" spans="1:15" ht="15.5" x14ac:dyDescent="0.35">
      <c r="A11" s="21"/>
      <c r="B11" s="21"/>
      <c r="C11" s="21"/>
      <c r="D11" s="21"/>
      <c r="E11" s="21"/>
      <c r="F11" s="21"/>
      <c r="G11" s="21"/>
      <c r="H11" s="21"/>
      <c r="I11" s="21"/>
      <c r="J11" s="21"/>
      <c r="K11" s="21"/>
      <c r="L11" s="21"/>
      <c r="M11" s="21"/>
      <c r="N11" s="21"/>
      <c r="O11" s="21"/>
    </row>
    <row r="12" spans="1:15" s="11" customFormat="1" ht="22.5" customHeight="1" x14ac:dyDescent="0.35">
      <c r="A12" s="20" t="s">
        <v>109</v>
      </c>
      <c r="B12" s="20"/>
      <c r="C12" s="20"/>
      <c r="D12" s="20"/>
      <c r="E12" s="20"/>
      <c r="F12" s="20"/>
      <c r="G12" s="20"/>
      <c r="H12" s="20"/>
      <c r="I12" s="20"/>
      <c r="J12" s="20"/>
      <c r="K12" s="20"/>
      <c r="L12" s="20"/>
      <c r="M12" s="20"/>
      <c r="N12" s="20"/>
      <c r="O12" s="20"/>
    </row>
    <row r="13" spans="1:15" ht="15.5" x14ac:dyDescent="0.35">
      <c r="A13" s="21"/>
      <c r="B13" s="21"/>
      <c r="C13" s="21"/>
      <c r="D13" s="21"/>
      <c r="E13" s="21"/>
      <c r="F13" s="21"/>
      <c r="G13" s="21"/>
      <c r="H13" s="21"/>
      <c r="I13" s="21"/>
      <c r="J13" s="21"/>
      <c r="K13" s="21"/>
      <c r="L13" s="21"/>
      <c r="M13" s="21"/>
      <c r="N13" s="21"/>
      <c r="O13" s="21"/>
    </row>
    <row r="14" spans="1:15" s="11" customFormat="1" ht="18.75" customHeight="1" x14ac:dyDescent="0.35">
      <c r="A14" s="20" t="s">
        <v>111</v>
      </c>
      <c r="B14" s="20"/>
      <c r="C14" s="20"/>
      <c r="D14" s="20"/>
      <c r="E14" s="20"/>
      <c r="F14" s="20"/>
      <c r="G14" s="20"/>
      <c r="H14" s="20"/>
      <c r="I14" s="20"/>
      <c r="J14" s="20"/>
      <c r="K14" s="20"/>
      <c r="L14" s="20"/>
      <c r="M14" s="20"/>
      <c r="N14" s="20"/>
      <c r="O14" s="20"/>
    </row>
    <row r="15" spans="1:15" ht="15.5" x14ac:dyDescent="0.35">
      <c r="A15" s="21"/>
      <c r="B15" s="21"/>
      <c r="C15" s="21"/>
      <c r="D15" s="21"/>
      <c r="E15" s="21"/>
      <c r="F15" s="21"/>
      <c r="G15" s="21"/>
      <c r="H15" s="21"/>
      <c r="I15" s="21"/>
      <c r="J15" s="21"/>
      <c r="K15" s="21"/>
      <c r="L15" s="21"/>
      <c r="M15" s="21"/>
      <c r="N15" s="21"/>
      <c r="O15" s="21"/>
    </row>
    <row r="16" spans="1:15" s="11" customFormat="1" ht="18.75" customHeight="1" x14ac:dyDescent="0.35">
      <c r="A16" s="20" t="s">
        <v>110</v>
      </c>
      <c r="B16" s="20"/>
      <c r="C16" s="20"/>
      <c r="D16" s="20"/>
      <c r="E16" s="20"/>
      <c r="F16" s="20"/>
      <c r="G16" s="20"/>
      <c r="H16" s="20"/>
      <c r="I16" s="20"/>
      <c r="J16" s="20"/>
      <c r="K16" s="20"/>
      <c r="L16" s="20"/>
      <c r="M16" s="20"/>
      <c r="N16" s="20"/>
      <c r="O16" s="20"/>
    </row>
    <row r="17" spans="1:15" ht="15.5" x14ac:dyDescent="0.35">
      <c r="A17" s="150"/>
      <c r="B17" s="150"/>
      <c r="C17" s="150"/>
      <c r="D17" s="150"/>
      <c r="E17" s="150"/>
      <c r="F17" s="150"/>
      <c r="G17" s="150"/>
      <c r="H17" s="150"/>
      <c r="I17" s="150"/>
      <c r="J17" s="150"/>
      <c r="K17" s="150"/>
      <c r="L17" s="150"/>
      <c r="M17" s="150"/>
      <c r="N17" s="150"/>
      <c r="O17" s="150"/>
    </row>
    <row r="18" spans="1:15" x14ac:dyDescent="0.25">
      <c r="A18" s="149"/>
      <c r="B18" s="149"/>
      <c r="C18" s="149"/>
      <c r="D18" s="149"/>
      <c r="E18" s="149"/>
      <c r="F18" s="149"/>
      <c r="G18" s="149"/>
      <c r="H18" s="149"/>
      <c r="I18" s="149"/>
      <c r="J18" s="149"/>
      <c r="K18" s="149"/>
      <c r="L18" s="149"/>
      <c r="M18" s="149"/>
      <c r="N18" s="149"/>
      <c r="O18" s="149"/>
    </row>
    <row r="19" spans="1:15" x14ac:dyDescent="0.25">
      <c r="A19" s="149"/>
      <c r="B19" s="149"/>
      <c r="C19" s="149"/>
      <c r="D19" s="149"/>
      <c r="E19" s="149"/>
      <c r="F19" s="149"/>
      <c r="G19" s="149"/>
      <c r="H19" s="149"/>
      <c r="I19" s="149"/>
      <c r="J19" s="149"/>
      <c r="K19" s="149"/>
      <c r="L19" s="149"/>
      <c r="M19" s="149"/>
      <c r="N19" s="149"/>
      <c r="O19" s="149"/>
    </row>
    <row r="21" spans="1:15" s="19" customFormat="1" ht="18" x14ac:dyDescent="0.4">
      <c r="A21" s="137" t="s">
        <v>119</v>
      </c>
    </row>
    <row r="22" spans="1:15" s="19" customFormat="1" ht="15.5" x14ac:dyDescent="0.35">
      <c r="A22" s="138" t="s">
        <v>120</v>
      </c>
    </row>
    <row r="23" spans="1:15" s="19" customFormat="1" ht="15.5" x14ac:dyDescent="0.35">
      <c r="A23" s="21"/>
    </row>
    <row r="24" spans="1:15" s="19" customFormat="1" ht="15.5" x14ac:dyDescent="0.35">
      <c r="A24" s="21"/>
    </row>
    <row r="25" spans="1:15" s="19" customFormat="1" ht="18" x14ac:dyDescent="0.4">
      <c r="A25" s="137" t="s">
        <v>121</v>
      </c>
    </row>
    <row r="26" spans="1:15" s="19" customFormat="1" ht="18.5" x14ac:dyDescent="0.45">
      <c r="A26" s="139" t="s">
        <v>122</v>
      </c>
    </row>
    <row r="27" spans="1:15" s="19" customFormat="1" ht="15.5" x14ac:dyDescent="0.35">
      <c r="A27" s="140" t="s">
        <v>123</v>
      </c>
    </row>
    <row r="28" spans="1:15" s="19" customFormat="1" ht="15.5" x14ac:dyDescent="0.35">
      <c r="A28" s="140" t="s">
        <v>124</v>
      </c>
    </row>
    <row r="29" spans="1:15" s="19" customFormat="1" ht="15.5" x14ac:dyDescent="0.35">
      <c r="A29" s="140" t="s">
        <v>125</v>
      </c>
    </row>
    <row r="30" spans="1:15" s="19" customFormat="1" ht="15.5" x14ac:dyDescent="0.35">
      <c r="A30" s="140" t="s">
        <v>126</v>
      </c>
    </row>
    <row r="31" spans="1:15" s="19" customFormat="1" ht="15.5" x14ac:dyDescent="0.35">
      <c r="A31" s="140" t="s">
        <v>127</v>
      </c>
    </row>
    <row r="32" spans="1:15" s="19" customFormat="1" ht="15.5" x14ac:dyDescent="0.35">
      <c r="A32" s="140" t="s">
        <v>128</v>
      </c>
    </row>
    <row r="33" spans="1:1" s="19" customFormat="1" ht="15.5" x14ac:dyDescent="0.35">
      <c r="A33" s="141"/>
    </row>
    <row r="34" spans="1:1" s="19" customFormat="1" ht="15.5" x14ac:dyDescent="0.35">
      <c r="A34" s="141"/>
    </row>
    <row r="35" spans="1:1" s="19" customFormat="1" ht="18.5" x14ac:dyDescent="0.45">
      <c r="A35" s="139" t="s">
        <v>129</v>
      </c>
    </row>
    <row r="36" spans="1:1" s="19" customFormat="1" ht="15.5" x14ac:dyDescent="0.35">
      <c r="A36" s="140" t="s">
        <v>130</v>
      </c>
    </row>
    <row r="37" spans="1:1" s="19" customFormat="1" ht="15.5" x14ac:dyDescent="0.35">
      <c r="A37" s="140" t="s">
        <v>131</v>
      </c>
    </row>
    <row r="38" spans="1:1" s="19" customFormat="1" ht="15.5" x14ac:dyDescent="0.35">
      <c r="A38" s="140" t="s">
        <v>132</v>
      </c>
    </row>
    <row r="39" spans="1:1" s="19" customFormat="1" ht="15.5" x14ac:dyDescent="0.35">
      <c r="A39" s="140" t="s">
        <v>133</v>
      </c>
    </row>
    <row r="40" spans="1:1" s="19" customFormat="1" ht="15.5" x14ac:dyDescent="0.35">
      <c r="A40" s="21"/>
    </row>
    <row r="41" spans="1:1" s="19" customFormat="1" ht="15.5" x14ac:dyDescent="0.35">
      <c r="A41" s="140" t="s">
        <v>134</v>
      </c>
    </row>
    <row r="42" spans="1:1" s="19" customFormat="1" ht="18.5" x14ac:dyDescent="0.45">
      <c r="A42" s="139" t="s">
        <v>135</v>
      </c>
    </row>
    <row r="43" spans="1:1" s="19" customFormat="1" ht="15.5" x14ac:dyDescent="0.35">
      <c r="A43" s="138" t="s">
        <v>136</v>
      </c>
    </row>
    <row r="44" spans="1:1" s="19" customFormat="1" ht="15.5" x14ac:dyDescent="0.35">
      <c r="A44" s="140" t="s">
        <v>137</v>
      </c>
    </row>
    <row r="45" spans="1:1" s="19" customFormat="1" ht="15.5" x14ac:dyDescent="0.35">
      <c r="A45" s="142" t="s">
        <v>138</v>
      </c>
    </row>
    <row r="46" spans="1:1" s="19" customFormat="1" ht="15.5" x14ac:dyDescent="0.35">
      <c r="A46" s="142" t="s">
        <v>139</v>
      </c>
    </row>
    <row r="47" spans="1:1" s="19" customFormat="1" ht="15.5" x14ac:dyDescent="0.35">
      <c r="A47" s="142" t="s">
        <v>140</v>
      </c>
    </row>
    <row r="48" spans="1:1" s="19" customFormat="1" ht="15.5" x14ac:dyDescent="0.35">
      <c r="A48" s="140" t="s">
        <v>223</v>
      </c>
    </row>
    <row r="49" spans="1:1" s="19" customFormat="1" ht="15.5" x14ac:dyDescent="0.35">
      <c r="A49" s="142" t="s">
        <v>141</v>
      </c>
    </row>
    <row r="50" spans="1:1" s="19" customFormat="1" ht="15.5" x14ac:dyDescent="0.35">
      <c r="A50" s="142" t="s">
        <v>142</v>
      </c>
    </row>
    <row r="51" spans="1:1" s="19" customFormat="1" ht="15.5" x14ac:dyDescent="0.35">
      <c r="A51" s="142" t="s">
        <v>143</v>
      </c>
    </row>
    <row r="52" spans="1:1" s="19" customFormat="1" ht="15.5" x14ac:dyDescent="0.35">
      <c r="A52" s="140" t="s">
        <v>144</v>
      </c>
    </row>
    <row r="53" spans="1:1" s="19" customFormat="1" ht="15.5" x14ac:dyDescent="0.35">
      <c r="A53" s="142" t="s">
        <v>145</v>
      </c>
    </row>
    <row r="54" spans="1:1" s="19" customFormat="1" ht="15.5" x14ac:dyDescent="0.35">
      <c r="A54" s="142" t="s">
        <v>146</v>
      </c>
    </row>
    <row r="55" spans="1:1" s="19" customFormat="1" ht="15.5" x14ac:dyDescent="0.35">
      <c r="A55" s="143" t="s">
        <v>147</v>
      </c>
    </row>
    <row r="56" spans="1:1" s="19" customFormat="1" ht="15.5" x14ac:dyDescent="0.35">
      <c r="A56" s="21" t="s">
        <v>148</v>
      </c>
    </row>
    <row r="57" spans="1:1" s="19" customFormat="1" ht="15.5" x14ac:dyDescent="0.35">
      <c r="A57" s="21"/>
    </row>
    <row r="58" spans="1:1" s="19" customFormat="1" ht="18.5" x14ac:dyDescent="0.45">
      <c r="A58" s="139" t="s">
        <v>149</v>
      </c>
    </row>
    <row r="59" spans="1:1" s="19" customFormat="1" ht="15.5" x14ac:dyDescent="0.35">
      <c r="A59" s="144" t="s">
        <v>224</v>
      </c>
    </row>
    <row r="60" spans="1:1" s="19" customFormat="1" ht="15.5" x14ac:dyDescent="0.35">
      <c r="A60" s="144" t="s">
        <v>225</v>
      </c>
    </row>
    <row r="61" spans="1:1" s="19" customFormat="1" ht="15.5" x14ac:dyDescent="0.35">
      <c r="A61" s="21" t="s">
        <v>134</v>
      </c>
    </row>
    <row r="62" spans="1:1" s="19" customFormat="1" ht="15.5" x14ac:dyDescent="0.35">
      <c r="A62" s="141"/>
    </row>
    <row r="63" spans="1:1" s="19" customFormat="1" ht="18.5" x14ac:dyDescent="0.45">
      <c r="A63" s="139" t="s">
        <v>150</v>
      </c>
    </row>
    <row r="64" spans="1:1" s="19" customFormat="1" ht="15.5" x14ac:dyDescent="0.35">
      <c r="A64" s="144" t="s">
        <v>151</v>
      </c>
    </row>
    <row r="65" spans="1:1" s="19" customFormat="1" ht="15.5" x14ac:dyDescent="0.35">
      <c r="A65" s="141"/>
    </row>
    <row r="66" spans="1:1" s="19" customFormat="1" ht="15.5" x14ac:dyDescent="0.35">
      <c r="A66" s="141"/>
    </row>
    <row r="67" spans="1:1" s="19" customFormat="1" ht="18.5" x14ac:dyDescent="0.45">
      <c r="A67" s="139" t="s">
        <v>152</v>
      </c>
    </row>
    <row r="68" spans="1:1" s="19" customFormat="1" ht="15.5" x14ac:dyDescent="0.35">
      <c r="A68" s="144" t="s">
        <v>153</v>
      </c>
    </row>
    <row r="69" spans="1:1" s="19" customFormat="1" ht="15.5" x14ac:dyDescent="0.35">
      <c r="A69" s="144" t="s">
        <v>154</v>
      </c>
    </row>
    <row r="70" spans="1:1" s="19" customFormat="1" ht="15.5" x14ac:dyDescent="0.35">
      <c r="A70" s="144" t="s">
        <v>155</v>
      </c>
    </row>
    <row r="71" spans="1:1" s="19" customFormat="1" ht="15.5" x14ac:dyDescent="0.35">
      <c r="A71" s="138" t="s">
        <v>156</v>
      </c>
    </row>
    <row r="72" spans="1:1" s="19" customFormat="1" ht="15.5" x14ac:dyDescent="0.35">
      <c r="A72" s="21"/>
    </row>
    <row r="73" spans="1:1" s="19" customFormat="1" ht="15.5" x14ac:dyDescent="0.35">
      <c r="A73" s="138" t="s">
        <v>134</v>
      </c>
    </row>
    <row r="74" spans="1:1" s="19" customFormat="1" ht="18.5" x14ac:dyDescent="0.45">
      <c r="A74" s="139" t="s">
        <v>157</v>
      </c>
    </row>
    <row r="75" spans="1:1" s="19" customFormat="1" ht="15.5" x14ac:dyDescent="0.35">
      <c r="A75" s="144" t="s">
        <v>158</v>
      </c>
    </row>
    <row r="76" spans="1:1" s="19" customFormat="1" ht="15.5" x14ac:dyDescent="0.35">
      <c r="A76" s="144" t="s">
        <v>159</v>
      </c>
    </row>
    <row r="77" spans="1:1" s="19" customFormat="1" ht="15.5" x14ac:dyDescent="0.35">
      <c r="A77" s="144" t="s">
        <v>160</v>
      </c>
    </row>
    <row r="78" spans="1:1" s="19" customFormat="1" ht="15.5" x14ac:dyDescent="0.35">
      <c r="A78" s="144" t="s">
        <v>161</v>
      </c>
    </row>
    <row r="79" spans="1:1" s="19" customFormat="1" ht="15.5" x14ac:dyDescent="0.35">
      <c r="A79" s="144" t="s">
        <v>162</v>
      </c>
    </row>
    <row r="80" spans="1:1" s="19" customFormat="1" ht="15.5" x14ac:dyDescent="0.35">
      <c r="A80" s="21"/>
    </row>
    <row r="81" spans="1:1" s="19" customFormat="1" ht="15.5" x14ac:dyDescent="0.35">
      <c r="A81" s="141"/>
    </row>
    <row r="82" spans="1:1" s="19" customFormat="1" ht="18" x14ac:dyDescent="0.4">
      <c r="A82" s="137" t="s">
        <v>163</v>
      </c>
    </row>
    <row r="83" spans="1:1" s="19" customFormat="1" ht="15.5" x14ac:dyDescent="0.35">
      <c r="A83" s="21"/>
    </row>
    <row r="84" spans="1:1" s="19" customFormat="1" ht="18.5" x14ac:dyDescent="0.45">
      <c r="A84" s="139" t="s">
        <v>164</v>
      </c>
    </row>
    <row r="85" spans="1:1" s="19" customFormat="1" ht="15.5" x14ac:dyDescent="0.35">
      <c r="A85" s="145"/>
    </row>
    <row r="86" spans="1:1" s="19" customFormat="1" ht="15.5" x14ac:dyDescent="0.35">
      <c r="A86" s="146" t="s">
        <v>165</v>
      </c>
    </row>
    <row r="87" spans="1:1" s="19" customFormat="1" ht="15.5" x14ac:dyDescent="0.35">
      <c r="A87" s="141"/>
    </row>
    <row r="88" spans="1:1" s="19" customFormat="1" ht="15.5" x14ac:dyDescent="0.35">
      <c r="A88" s="146" t="s">
        <v>166</v>
      </c>
    </row>
    <row r="89" spans="1:1" s="19" customFormat="1" ht="15.5" x14ac:dyDescent="0.35">
      <c r="A89" s="141"/>
    </row>
    <row r="90" spans="1:1" s="19" customFormat="1" ht="15.5" x14ac:dyDescent="0.35">
      <c r="A90" s="146" t="s">
        <v>167</v>
      </c>
    </row>
    <row r="91" spans="1:1" s="19" customFormat="1" ht="16" x14ac:dyDescent="0.4">
      <c r="A91" s="147" t="s">
        <v>168</v>
      </c>
    </row>
    <row r="92" spans="1:1" s="19" customFormat="1" ht="16" x14ac:dyDescent="0.4">
      <c r="A92" s="147" t="s">
        <v>169</v>
      </c>
    </row>
    <row r="93" spans="1:1" s="19" customFormat="1" ht="16" x14ac:dyDescent="0.4">
      <c r="A93" s="147" t="s">
        <v>170</v>
      </c>
    </row>
    <row r="94" spans="1:1" s="19" customFormat="1" ht="15.5" x14ac:dyDescent="0.35">
      <c r="A94" s="148" t="s">
        <v>171</v>
      </c>
    </row>
    <row r="95" spans="1:1" s="19" customFormat="1" ht="15.5" x14ac:dyDescent="0.35">
      <c r="A95" s="148" t="s">
        <v>172</v>
      </c>
    </row>
    <row r="96" spans="1:1" s="19" customFormat="1" ht="16" x14ac:dyDescent="0.4">
      <c r="A96" s="147" t="s">
        <v>173</v>
      </c>
    </row>
    <row r="97" spans="1:1" s="19" customFormat="1" ht="16" x14ac:dyDescent="0.4">
      <c r="A97" s="147" t="s">
        <v>174</v>
      </c>
    </row>
    <row r="98" spans="1:1" s="19" customFormat="1" ht="16" x14ac:dyDescent="0.4">
      <c r="A98" s="147" t="s">
        <v>175</v>
      </c>
    </row>
    <row r="99" spans="1:1" s="19" customFormat="1" ht="16" x14ac:dyDescent="0.4">
      <c r="A99" s="147" t="s">
        <v>176</v>
      </c>
    </row>
    <row r="100" spans="1:1" s="19" customFormat="1" ht="16" x14ac:dyDescent="0.4">
      <c r="A100" s="147" t="s">
        <v>177</v>
      </c>
    </row>
    <row r="101" spans="1:1" s="19" customFormat="1" ht="16" x14ac:dyDescent="0.4">
      <c r="A101" s="147" t="s">
        <v>178</v>
      </c>
    </row>
    <row r="102" spans="1:1" s="19" customFormat="1" ht="16" x14ac:dyDescent="0.4">
      <c r="A102" s="147" t="s">
        <v>179</v>
      </c>
    </row>
    <row r="103" spans="1:1" s="19" customFormat="1" ht="15.5" x14ac:dyDescent="0.35">
      <c r="A103" s="138"/>
    </row>
    <row r="104" spans="1:1" s="19" customFormat="1" ht="15.5" x14ac:dyDescent="0.35">
      <c r="A104" s="146" t="s">
        <v>180</v>
      </c>
    </row>
    <row r="105" spans="1:1" s="19" customFormat="1" ht="15.5" x14ac:dyDescent="0.35">
      <c r="A105" s="147" t="s">
        <v>181</v>
      </c>
    </row>
    <row r="106" spans="1:1" s="19" customFormat="1" ht="15.5" x14ac:dyDescent="0.35">
      <c r="A106" s="147" t="s">
        <v>182</v>
      </c>
    </row>
    <row r="107" spans="1:1" s="19" customFormat="1" ht="15.5" x14ac:dyDescent="0.35">
      <c r="A107" s="21"/>
    </row>
    <row r="108" spans="1:1" s="19" customFormat="1" ht="15.5" x14ac:dyDescent="0.35">
      <c r="A108" s="21"/>
    </row>
    <row r="109" spans="1:1" s="19" customFormat="1" ht="18.5" x14ac:dyDescent="0.45">
      <c r="A109" s="139" t="s">
        <v>183</v>
      </c>
    </row>
    <row r="110" spans="1:1" s="19" customFormat="1" ht="15.5" x14ac:dyDescent="0.35">
      <c r="A110" s="21"/>
    </row>
    <row r="111" spans="1:1" s="19" customFormat="1" ht="15.5" x14ac:dyDescent="0.35">
      <c r="A111" s="146" t="s">
        <v>184</v>
      </c>
    </row>
    <row r="112" spans="1:1" s="19" customFormat="1" ht="15.5" x14ac:dyDescent="0.35">
      <c r="A112" s="141" t="s">
        <v>148</v>
      </c>
    </row>
    <row r="113" spans="1:1" s="19" customFormat="1" ht="15.5" x14ac:dyDescent="0.35">
      <c r="A113" s="146" t="s">
        <v>166</v>
      </c>
    </row>
    <row r="114" spans="1:1" s="19" customFormat="1" ht="15.5" x14ac:dyDescent="0.35">
      <c r="A114" s="141"/>
    </row>
    <row r="115" spans="1:1" s="19" customFormat="1" ht="15.5" x14ac:dyDescent="0.35">
      <c r="A115" s="146" t="s">
        <v>167</v>
      </c>
    </row>
    <row r="116" spans="1:1" s="19" customFormat="1" ht="16" x14ac:dyDescent="0.4">
      <c r="A116" s="147" t="s">
        <v>169</v>
      </c>
    </row>
    <row r="117" spans="1:1" s="19" customFormat="1" ht="16" x14ac:dyDescent="0.4">
      <c r="A117" s="147" t="s">
        <v>185</v>
      </c>
    </row>
    <row r="118" spans="1:1" s="19" customFormat="1" ht="16" x14ac:dyDescent="0.4">
      <c r="A118" s="147" t="s">
        <v>186</v>
      </c>
    </row>
    <row r="119" spans="1:1" s="19" customFormat="1" ht="15.5" x14ac:dyDescent="0.35">
      <c r="A119" s="21"/>
    </row>
    <row r="120" spans="1:1" s="19" customFormat="1" ht="15.5" x14ac:dyDescent="0.35">
      <c r="A120" s="146" t="s">
        <v>187</v>
      </c>
    </row>
    <row r="121" spans="1:1" s="19" customFormat="1" ht="15.5" x14ac:dyDescent="0.35">
      <c r="A121" s="147" t="s">
        <v>188</v>
      </c>
    </row>
    <row r="122" spans="1:1" s="19" customFormat="1" ht="15.5" x14ac:dyDescent="0.35">
      <c r="A122" s="147" t="s">
        <v>189</v>
      </c>
    </row>
    <row r="123" spans="1:1" s="19" customFormat="1" ht="15.5" x14ac:dyDescent="0.35">
      <c r="A123" s="21"/>
    </row>
    <row r="124" spans="1:1" s="19" customFormat="1" ht="15.5" x14ac:dyDescent="0.35">
      <c r="A124" s="21"/>
    </row>
    <row r="125" spans="1:1" s="19" customFormat="1" ht="18.5" x14ac:dyDescent="0.45">
      <c r="A125" s="139" t="s">
        <v>190</v>
      </c>
    </row>
    <row r="126" spans="1:1" s="19" customFormat="1" ht="15.5" x14ac:dyDescent="0.35">
      <c r="A126" s="21"/>
    </row>
    <row r="127" spans="1:1" s="19" customFormat="1" ht="15.5" x14ac:dyDescent="0.35">
      <c r="A127" s="146" t="s">
        <v>191</v>
      </c>
    </row>
    <row r="128" spans="1:1" s="19" customFormat="1" ht="15.5" x14ac:dyDescent="0.35">
      <c r="A128" s="141"/>
    </row>
    <row r="129" spans="1:1" s="19" customFormat="1" ht="15.5" x14ac:dyDescent="0.35">
      <c r="A129" s="146" t="s">
        <v>166</v>
      </c>
    </row>
    <row r="130" spans="1:1" s="19" customFormat="1" ht="15.5" x14ac:dyDescent="0.35">
      <c r="A130" s="141"/>
    </row>
    <row r="131" spans="1:1" s="19" customFormat="1" ht="15.5" x14ac:dyDescent="0.35">
      <c r="A131" s="146" t="s">
        <v>192</v>
      </c>
    </row>
    <row r="132" spans="1:1" s="19" customFormat="1" ht="16" x14ac:dyDescent="0.4">
      <c r="A132" s="147" t="s">
        <v>193</v>
      </c>
    </row>
    <row r="133" spans="1:1" s="19" customFormat="1" ht="16" x14ac:dyDescent="0.4">
      <c r="A133" s="147" t="s">
        <v>194</v>
      </c>
    </row>
    <row r="134" spans="1:1" s="19" customFormat="1" ht="16" x14ac:dyDescent="0.4">
      <c r="A134" s="147" t="s">
        <v>195</v>
      </c>
    </row>
    <row r="135" spans="1:1" s="19" customFormat="1" ht="16" x14ac:dyDescent="0.4">
      <c r="A135" s="147" t="s">
        <v>196</v>
      </c>
    </row>
    <row r="136" spans="1:1" s="19" customFormat="1" ht="16" x14ac:dyDescent="0.4">
      <c r="A136" s="147" t="s">
        <v>197</v>
      </c>
    </row>
    <row r="137" spans="1:1" s="19" customFormat="1" ht="16" x14ac:dyDescent="0.4">
      <c r="A137" s="147" t="s">
        <v>198</v>
      </c>
    </row>
    <row r="138" spans="1:1" s="19" customFormat="1" ht="16" x14ac:dyDescent="0.4">
      <c r="A138" s="147" t="s">
        <v>199</v>
      </c>
    </row>
    <row r="139" spans="1:1" s="19" customFormat="1" ht="16" x14ac:dyDescent="0.4">
      <c r="A139" s="147" t="s">
        <v>200</v>
      </c>
    </row>
    <row r="140" spans="1:1" s="19" customFormat="1" ht="15.5" x14ac:dyDescent="0.35">
      <c r="A140" s="140"/>
    </row>
    <row r="141" spans="1:1" s="19" customFormat="1" ht="15.5" x14ac:dyDescent="0.35">
      <c r="A141" s="140" t="s">
        <v>201</v>
      </c>
    </row>
    <row r="142" spans="1:1" s="19" customFormat="1" ht="15.5" x14ac:dyDescent="0.35">
      <c r="A142" s="21"/>
    </row>
    <row r="143" spans="1:1" s="19" customFormat="1" ht="15.5" x14ac:dyDescent="0.35">
      <c r="A143" s="146" t="s">
        <v>202</v>
      </c>
    </row>
    <row r="144" spans="1:1" s="19" customFormat="1" ht="15.5" x14ac:dyDescent="0.35">
      <c r="A144" s="147" t="s">
        <v>188</v>
      </c>
    </row>
    <row r="145" spans="1:1" s="19" customFormat="1" ht="15.5" x14ac:dyDescent="0.35">
      <c r="A145" s="147" t="s">
        <v>203</v>
      </c>
    </row>
    <row r="146" spans="1:1" s="19" customFormat="1" ht="15.5" x14ac:dyDescent="0.35">
      <c r="A146" s="147" t="s">
        <v>204</v>
      </c>
    </row>
    <row r="147" spans="1:1" s="19" customFormat="1" ht="15.5" x14ac:dyDescent="0.35">
      <c r="A147" s="140"/>
    </row>
    <row r="148" spans="1:1" s="19" customFormat="1" ht="15.5" x14ac:dyDescent="0.35">
      <c r="A148" s="21"/>
    </row>
    <row r="149" spans="1:1" s="19" customFormat="1" ht="15.5" x14ac:dyDescent="0.35">
      <c r="A149" s="21"/>
    </row>
    <row r="150" spans="1:1" s="19" customFormat="1" ht="18" x14ac:dyDescent="0.4">
      <c r="A150" s="137" t="s">
        <v>205</v>
      </c>
    </row>
    <row r="151" spans="1:1" s="19" customFormat="1" ht="15.5" x14ac:dyDescent="0.35">
      <c r="A151" s="141" t="s">
        <v>206</v>
      </c>
    </row>
    <row r="152" spans="1:1" s="19" customFormat="1" ht="15.5" x14ac:dyDescent="0.35">
      <c r="A152" s="144" t="s">
        <v>207</v>
      </c>
    </row>
    <row r="153" spans="1:1" s="19" customFormat="1" ht="15.5" x14ac:dyDescent="0.35">
      <c r="A153" s="144" t="s">
        <v>208</v>
      </c>
    </row>
    <row r="154" spans="1:1" s="19" customFormat="1" ht="15.5" x14ac:dyDescent="0.35">
      <c r="A154" s="144" t="s">
        <v>209</v>
      </c>
    </row>
    <row r="155" spans="1:1" s="19" customFormat="1" ht="15.5" x14ac:dyDescent="0.35">
      <c r="A155" s="141" t="s">
        <v>210</v>
      </c>
    </row>
    <row r="156" spans="1:1" s="19" customFormat="1" ht="15.5" x14ac:dyDescent="0.35">
      <c r="A156" s="138"/>
    </row>
  </sheetData>
  <mergeCells count="1">
    <mergeCell ref="A1:O1"/>
  </mergeCells>
  <phoneticPr fontId="2"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5</vt:i4>
      </vt:variant>
    </vt:vector>
  </HeadingPairs>
  <TitlesOfParts>
    <vt:vector size="9" baseType="lpstr">
      <vt:lpstr>RIEPILOGO_RIMBORSO_SPESE</vt:lpstr>
      <vt:lpstr>RIMBORSO_SPESE</vt:lpstr>
      <vt:lpstr>RIMBORSO KM</vt:lpstr>
      <vt:lpstr>Note di compilazione</vt:lpstr>
      <vt:lpstr>RIEPILOGO_RIMBORSO_SPESE!Area_stampa</vt:lpstr>
      <vt:lpstr>'RIMBORSO KM'!Area_stampa</vt:lpstr>
      <vt:lpstr>RIMBORSO_SPESE!Area_stampa</vt:lpstr>
      <vt:lpstr>'RIMBORSO KM'!Titoli_stampa</vt:lpstr>
      <vt:lpstr>RIMBORSO_SPESE!Titoli_stampa</vt:lpstr>
    </vt:vector>
  </TitlesOfParts>
  <Company>Balance Systems SRL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Desalvo Maurizio</dc:creator>
  <cp:lastModifiedBy>Martina Bonino</cp:lastModifiedBy>
  <cp:lastPrinted>2025-05-16T10:26:31Z</cp:lastPrinted>
  <dcterms:created xsi:type="dcterms:W3CDTF">2006-05-26T15:15:15Z</dcterms:created>
  <dcterms:modified xsi:type="dcterms:W3CDTF">2026-02-05T08:16:45Z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